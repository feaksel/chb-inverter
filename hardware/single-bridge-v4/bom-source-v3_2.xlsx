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 BOM" sheetId="1" r:id="rId4"/>
    <sheet state="visible" name="Alışveriş Listesi (Site)" sheetId="2" r:id="rId5"/>
  </sheets>
  <definedNames/>
  <calcPr/>
  <extLst>
    <ext uri="GoogleSheetsCustomDataVersion2">
      <go:sheetsCustomData xmlns:go="http://customooxmlschemas.google.com/" r:id="rId6" roundtripDataChecksum="ShTGfKOS6KmItP9b5lvuwGxyjkO3vPKwSWHXhspYc+g="/>
    </ext>
  </extLst>
</workbook>
</file>

<file path=xl/sharedStrings.xml><?xml version="1.0" encoding="utf-8"?>
<sst xmlns="http://schemas.openxmlformats.org/spreadsheetml/2006/main" count="365" uniqueCount="239">
  <si>
    <t>5-LEVEL CHB INVERTER — COMPLETE BOM v3.2 (Motorobit Optimized, No Mouser)</t>
  </si>
  <si>
    <t>#</t>
  </si>
  <si>
    <t>Component</t>
  </si>
  <si>
    <t>Value / Spec</t>
  </si>
  <si>
    <t>Pkg</t>
  </si>
  <si>
    <t>Need</t>
  </si>
  <si>
    <t>Spare</t>
  </si>
  <si>
    <t>Total</t>
  </si>
  <si>
    <t>Role / Circuit Location</t>
  </si>
  <si>
    <t>Best Source</t>
  </si>
  <si>
    <t>Stock Status</t>
  </si>
  <si>
    <t>Unit (TL)</t>
  </si>
  <si>
    <t>Subtotal (TL)</t>
  </si>
  <si>
    <t>Link</t>
  </si>
  <si>
    <t>A. POWER SEMICONDUCTORS</t>
  </si>
  <si>
    <t>IRFZ44N MOSFET</t>
  </si>
  <si>
    <t>55V 49A 17.5mΩ</t>
  </si>
  <si>
    <t>TO-220</t>
  </si>
  <si>
    <t>H-bridge switches (Q1-Q4 ×2)</t>
  </si>
  <si>
    <t>Motorobit</t>
  </si>
  <si>
    <t>STOKTA</t>
  </si>
  <si>
    <t>TLP250 Gate Driver DIP</t>
  </si>
  <si>
    <t>2500Vrms isol.</t>
  </si>
  <si>
    <t>DIP-8</t>
  </si>
  <si>
    <t>Isolated gate driver (1/MOSFET)</t>
  </si>
  <si>
    <t>B0515S-1WR3 DC-DC</t>
  </si>
  <si>
    <t>5V→15V 1W isolated</t>
  </si>
  <si>
    <t>SIP-4</t>
  </si>
  <si>
    <t>Isolated 15V supply (2 paralel/bridge)</t>
  </si>
  <si>
    <t>1N5408 Diode</t>
  </si>
  <si>
    <t>3A 1000V rectifier</t>
  </si>
  <si>
    <t>DO-201</t>
  </si>
  <si>
    <t>Reverse polarity koruma</t>
  </si>
  <si>
    <t>Direnc.net</t>
  </si>
  <si>
    <t>STOKTA (28707)</t>
  </si>
  <si>
    <t>UF4007 Fast Diode</t>
  </si>
  <si>
    <t>1A 1000V 75ns</t>
  </si>
  <si>
    <t>DO-41</t>
  </si>
  <si>
    <t>Bootstrap diyot (4 HS kanal)</t>
  </si>
  <si>
    <t>STOKTA (99999)</t>
  </si>
  <si>
    <t>1.5KE62A TVS Diode</t>
  </si>
  <si>
    <t>53V standoff 84.5V clamp</t>
  </si>
  <si>
    <t>Transient voltage clamp (1/bridge)</t>
  </si>
  <si>
    <t>B. SENSING ICs</t>
  </si>
  <si>
    <t>ACS712-20A Module</t>
  </si>
  <si>
    <t>Hall-effect 100mV/A</t>
  </si>
  <si>
    <t>Module</t>
  </si>
  <si>
    <t>AC çıkış akım sensörü</t>
  </si>
  <si>
    <t>STOKTA (20A!)</t>
  </si>
  <si>
    <t>MCP3201 ADC</t>
  </si>
  <si>
    <t>12-bit SPI single ch</t>
  </si>
  <si>
    <t>İzoleli DC bus ADC ×2 + akım ADC ×1</t>
  </si>
  <si>
    <t>STOKTA (27)</t>
  </si>
  <si>
    <t>6N137 Optocoupler DIP</t>
  </si>
  <si>
    <t>10Mbit/s high-speed</t>
  </si>
  <si>
    <t>SPI izolasyon: 3/bridge (SCK,CS,MISO)</t>
  </si>
  <si>
    <t>78L05 Regulator</t>
  </si>
  <si>
    <t>5V 100mA linear</t>
  </si>
  <si>
    <t>TO-92</t>
  </si>
  <si>
    <t>Island lojik beslemesi (15V→5V)</t>
  </si>
  <si>
    <t>C. DC BUS KAPASITÖRLER &amp; KORUMA</t>
  </si>
  <si>
    <t>Electrolytic Cap</t>
  </si>
  <si>
    <t>1000µF / 100V</t>
  </si>
  <si>
    <t>Radial</t>
  </si>
  <si>
    <t>DC link bulk depolama</t>
  </si>
  <si>
    <t>Bleeder Resistor</t>
  </si>
  <si>
    <t>100kΩ / 2W</t>
  </si>
  <si>
    <t>Axial</t>
  </si>
  <si>
    <t>Güvenlik deşarj</t>
  </si>
  <si>
    <t>Blade Fuse+Holder</t>
  </si>
  <si>
    <t>15A</t>
  </si>
  <si>
    <t>Standard</t>
  </si>
  <si>
    <t>Kısa devre koruma</t>
  </si>
  <si>
    <t>Robotistan</t>
  </si>
  <si>
    <t>D. GATE DRIVE PASİFLER (×8 kanal)</t>
  </si>
  <si>
    <t>Resistor 220Ω</t>
  </si>
  <si>
    <t>1/4W 5%</t>
  </si>
  <si>
    <t>TLP250 LED limit (8) + 6N137 LED (6)</t>
  </si>
  <si>
    <t>Resistor 22Ω 1/4W</t>
  </si>
  <si>
    <t>Gate seri direnç</t>
  </si>
  <si>
    <t>Resistor 10kΩ</t>
  </si>
  <si>
    <t>Gate-source pull-down</t>
  </si>
  <si>
    <t>Ceramic Cap 100nF</t>
  </si>
  <si>
    <t>100nF / 25V</t>
  </si>
  <si>
    <t>THT</t>
  </si>
  <si>
    <t>TLP250+6N137+MCP3201+B0515+div+bypass</t>
  </si>
  <si>
    <t>E. BOOTSTRAP (×4 HS kanal)</t>
  </si>
  <si>
    <t>Cap 10µF</t>
  </si>
  <si>
    <t>10µF / 25V</t>
  </si>
  <si>
    <t>Bootstrap enerji depolama</t>
  </si>
  <si>
    <t>F. SNUBBER (×8 MOSFET)</t>
  </si>
  <si>
    <t>Resistor 22Ω 2W</t>
  </si>
  <si>
    <t>2W wire-wound</t>
  </si>
  <si>
    <t>Snubber sönümleme (D-S arası)</t>
  </si>
  <si>
    <t>Film Cap 2.2nF</t>
  </si>
  <si>
    <t>2.2nF / 630V</t>
  </si>
  <si>
    <t>Box</t>
  </si>
  <si>
    <t>Snubber cap (22Ω ile seri)</t>
  </si>
  <si>
    <t>G. İZOLE BESLEME PASİFLER (×2 bridge)</t>
  </si>
  <si>
    <t>Resistor 1Ω</t>
  </si>
  <si>
    <t>1/4W</t>
  </si>
  <si>
    <t>B0515S akım dengeleme</t>
  </si>
  <si>
    <t>Electrolytic 100µF</t>
  </si>
  <si>
    <t>100µF / 25V</t>
  </si>
  <si>
    <t>B0515S çıkış filtre</t>
  </si>
  <si>
    <t>H. DC BUS SENSING PASİFLER (×2 island)</t>
  </si>
  <si>
    <t>Resistor 100kΩ 1%</t>
  </si>
  <si>
    <t>1/4W metal film</t>
  </si>
  <si>
    <t>Voltaj bölücü üst</t>
  </si>
  <si>
    <t>Resistor 5.1kΩ 1%</t>
  </si>
  <si>
    <t>Voltaj bölücü alt</t>
  </si>
  <si>
    <t>Resistor 4.7kΩ</t>
  </si>
  <si>
    <t>6N137 çıkış pull-up</t>
  </si>
  <si>
    <t>Cap 1µF ceramic</t>
  </si>
  <si>
    <t>1µF / 25V</t>
  </si>
  <si>
    <t>78L05 giriş filtre</t>
  </si>
  <si>
    <t>Electrolytic 10µF</t>
  </si>
  <si>
    <t>10µF / 16V</t>
  </si>
  <si>
    <t>78L05 çıkış filtre</t>
  </si>
  <si>
    <t>I. AKIM SENSOR PASİFLER (safe side)</t>
  </si>
  <si>
    <t>Resistor 1kΩ</t>
  </si>
  <si>
    <t>ACS712 bölücü üst</t>
  </si>
  <si>
    <t>Resistor 1.5kΩ</t>
  </si>
  <si>
    <t>ACS712 bölücü alt</t>
  </si>
  <si>
    <t>J. KONNEKTÖR &amp; MEKANİK</t>
  </si>
  <si>
    <t>Screw Terminal 2-pos</t>
  </si>
  <si>
    <t>15A+ 5.08mm</t>
  </si>
  <si>
    <t>PCB</t>
  </si>
  <si>
    <t>4×DC giriş + 2×AC çıkış</t>
  </si>
  <si>
    <t>Pin Header 2×10</t>
  </si>
  <si>
    <t>2.54mm male</t>
  </si>
  <si>
    <t>Controller interface</t>
  </si>
  <si>
    <t>Heatsink TO-220</t>
  </si>
  <si>
    <t>Clip-on</t>
  </si>
  <si>
    <t>MOSFET soğutucu</t>
  </si>
  <si>
    <t>18 AWG Wire</t>
  </si>
  <si>
    <t>Silikon kırmızı+siyah</t>
  </si>
  <si>
    <t>2m ea.</t>
  </si>
  <si>
    <t>Güç kablolama</t>
  </si>
  <si>
    <t>DIP-8 IC Socket</t>
  </si>
  <si>
    <t>8-pin turned pin</t>
  </si>
  <si>
    <t>TLP250(8)+6N137(6)+MCP3201(3) soketi</t>
  </si>
  <si>
    <t>TOPLAM / GRAND TOTAL</t>
  </si>
  <si>
    <t>SİPARİŞ LİSTESİ — SİTEYE GÖRE GRUPLANMIŞ (3 site, Mouser yok!)</t>
  </si>
  <si>
    <t>Site</t>
  </si>
  <si>
    <t>Komponent</t>
  </si>
  <si>
    <t>Adet</t>
  </si>
  <si>
    <t>Birim (TL)</t>
  </si>
  <si>
    <t>Ara Toplam (TL)</t>
  </si>
  <si>
    <t>Not / Stok</t>
  </si>
  <si>
    <t>📦  MOTOROBİT — motorobit.com</t>
  </si>
  <si>
    <t xml:space="preserve">IRFB4110 - 100V 180A Mosfet - TO220
</t>
  </si>
  <si>
    <t>IRFB4110N</t>
  </si>
  <si>
    <t>Stokta. 8+4 yedek</t>
  </si>
  <si>
    <t>TLP250 DIP-8 Gate Driver</t>
  </si>
  <si>
    <t>TLP250 DIP</t>
  </si>
  <si>
    <t>Stokta. DIP-8 versiyonu mevcut!</t>
  </si>
  <si>
    <t>B0515S-1WR3 DC-DC 5V→15V</t>
  </si>
  <si>
    <t>B0515S-1WR3</t>
  </si>
  <si>
    <t>Stokta! 93.24 TL KDV dahil. MOUSER GEREKMİYOR</t>
  </si>
  <si>
    <t>1.5KE62A</t>
  </si>
  <si>
    <t>Stokta! 9.72 TL KDV dahil. MOUSER GEREKMİYOR</t>
  </si>
  <si>
    <t>ACS712-20A Current Sensor</t>
  </si>
  <si>
    <t>ACS712 20A</t>
  </si>
  <si>
    <t>Stokta — 20A modül mevcut (100mV/A)</t>
  </si>
  <si>
    <t>6N137 DIP-8 Optocoupler</t>
  </si>
  <si>
    <t>6N137 DIP</t>
  </si>
  <si>
    <t>UF4007 1A 1000V Fast Diode</t>
  </si>
  <si>
    <t>UF4007</t>
  </si>
  <si>
    <t>99999 stokta</t>
  </si>
  <si>
    <t>15A Blade Fuse + Holder</t>
  </si>
  <si>
    <t>Sigorta</t>
  </si>
  <si>
    <t>Otomotiv tipi</t>
  </si>
  <si>
    <t>Heatsink TO-220 Clip-on</t>
  </si>
  <si>
    <t>Soğutucu</t>
  </si>
  <si>
    <t>MOSFET termal yönetim</t>
  </si>
  <si>
    <t>78L05 TO-92 Regulator</t>
  </si>
  <si>
    <t>78L05 TO-92</t>
  </si>
  <si>
    <t>Stokta</t>
  </si>
  <si>
    <t>18AWG Silikon Kablo (R+B)</t>
  </si>
  <si>
    <t>Kablo</t>
  </si>
  <si>
    <t>2m kırmızı + 2m siyah</t>
  </si>
  <si>
    <t>MOTOROBİT ARA TOPLAM:</t>
  </si>
  <si>
    <t>📦  DİRENÇ.NET — direnc.net</t>
  </si>
  <si>
    <t>MCP3201 DIP-8 ADC</t>
  </si>
  <si>
    <t>MCP3201 DIP</t>
  </si>
  <si>
    <t>27 stokta. 3+1 yedek. Erken sipariş ver!</t>
  </si>
  <si>
    <t>1N5408 3A 1000V Diode</t>
  </si>
  <si>
    <t>1N5408</t>
  </si>
  <si>
    <t>28707 stokta</t>
  </si>
  <si>
    <t>1000µF 100V Electrolytic</t>
  </si>
  <si>
    <t>1000µF</t>
  </si>
  <si>
    <t>DC link bulk</t>
  </si>
  <si>
    <t>100µF 25V Electrolytic</t>
  </si>
  <si>
    <t>100µF</t>
  </si>
  <si>
    <t>B0515S filtre</t>
  </si>
  <si>
    <t>10µF 25V (bootstrap)</t>
  </si>
  <si>
    <t>10µF 25V</t>
  </si>
  <si>
    <t>Bootstrap caps</t>
  </si>
  <si>
    <t>10µF 16V Electrolytic</t>
  </si>
  <si>
    <t>10µF 16V</t>
  </si>
  <si>
    <t>78L05 çıkış</t>
  </si>
  <si>
    <t>1µF 25V Ceramic</t>
  </si>
  <si>
    <t>1µF</t>
  </si>
  <si>
    <t>78L05 giriş</t>
  </si>
  <si>
    <t>100nF Ceramic TOPLU</t>
  </si>
  <si>
    <t>100nF bulk</t>
  </si>
  <si>
    <t>Tüm bypass: TLP250+6N137+MCP3201+B0515+div</t>
  </si>
  <si>
    <t>2.2nF 630V Film Cap</t>
  </si>
  <si>
    <t>2.2nF 630V</t>
  </si>
  <si>
    <t>Snubber cap — yüksek voltaj film</t>
  </si>
  <si>
    <t>Dirençler karışık (220Ω×14, 22Ω×8, 10kΩ×8, 4.7kΩ×6, 1Ω×4, 100kΩ 1%×2, 5.1kΩ 1%×2, 1kΩ×1, 1.5kΩ×1)</t>
  </si>
  <si>
    <t>Dirençler</t>
  </si>
  <si>
    <t>Tümü 1/4W, metal film 1% olanlar ayrı al</t>
  </si>
  <si>
    <t>22Ω 2W</t>
  </si>
  <si>
    <t>Snubber — 2W dikkat!</t>
  </si>
  <si>
    <t>Resistor 100kΩ 2W</t>
  </si>
  <si>
    <t>100kΩ 2W</t>
  </si>
  <si>
    <t>Bleeder — 2W</t>
  </si>
  <si>
    <t>Screw Terminal 2-pos 15A+</t>
  </si>
  <si>
    <t>Klemens</t>
  </si>
  <si>
    <t>5.08mm PCB mount</t>
  </si>
  <si>
    <t>Header</t>
  </si>
  <si>
    <t>Controller arayüz</t>
  </si>
  <si>
    <t>DIP-8 Soket</t>
  </si>
  <si>
    <t>TLP250(8)+6N137(6)+MCP3201(3)</t>
  </si>
  <si>
    <t>DİRENÇ.NET ARA TOPLAM:</t>
  </si>
  <si>
    <t>Real toplam</t>
  </si>
  <si>
    <t>TAHMİNİ GENEL TOPLAM:</t>
  </si>
  <si>
    <t>≈1300-1500 TL</t>
  </si>
  <si>
    <t>✅ MOUSER GEREKMİYOR! B0515S-1WR3 ve 1.5KE62A artık Motorobit'ten alınıyor.</t>
  </si>
  <si>
    <t>✅ ACS712-20A modül Motorobit'te stokta! (Direnc.net ve Robotistan'da 20A yok)</t>
  </si>
  <si>
    <t>✅ TLP250 DIP-8 ve 6N137 DIP-8 Motorobit'te stokta! (Direnc.net'te sadece SMD var)</t>
  </si>
  <si>
    <t>📦 Motorobit: 1500 TL üzeri kargo bedava, 15:00'a kadar sipariş aynı gün kargoda</t>
  </si>
  <si>
    <t>📦 Direnc.net: 1500 TL üzeri kargo bedava. Pasifler için ana kaynak.</t>
  </si>
  <si>
    <t>📦 Robotistan: Sadece mekanik bileşenler (soğutucu, sigorta, kablo). Kargo ~30-40 TL.</t>
  </si>
  <si>
    <t>⚠️ MCP3201: Direnc.net'te sadece 27 adet stokta. 4 adet lazım — erken sipariş önerilir.</t>
  </si>
  <si>
    <t>💡 Sipariş stratejisi: Önce Motorobit (IC'ler), sonra Direnc.net (pasifler), son Robotistan.</t>
  </si>
  <si>
    <t>💰 Fiyatlar KDV dahil tahminidir (Şubat 2026). Stok durumları anlık değişebilir.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</si>
</sst>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TL&quot;"/>
  </numFmts>
  <fonts count="22">
    <font>
      <sz val="11.0"/>
      <color theme="1"/>
      <name val="Calibri"/>
      <scheme val="minor"/>
    </font>
    <font>
      <b/>
      <sz val="13.0"/>
      <color rgb="FF1A3C5E"/>
      <name val="Arial"/>
    </font>
    <font/>
    <font>
      <b/>
      <sz val="10.0"/>
      <color rgb="FFFFFFFF"/>
      <name val="Arial"/>
    </font>
    <font>
      <b/>
      <sz val="10.0"/>
      <color rgb="FF1A3C5E"/>
      <name val="Arial"/>
    </font>
    <font>
      <sz val="9.0"/>
      <color theme="1"/>
      <name val="Arial"/>
    </font>
    <font>
      <b/>
      <sz val="9.0"/>
      <color rgb="FF006600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b/>
      <sz val="11.0"/>
      <color rgb="FF1A3C5E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CC0000"/>
      <name val="Arial"/>
    </font>
    <font>
      <b/>
      <sz val="12.0"/>
      <color rgb="FF1A3C5E"/>
      <name val="Arial"/>
    </font>
    <font>
      <b/>
      <sz val="11.0"/>
      <color rgb="FFFFFF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b/>
      <sz val="10.0"/>
      <color theme="1"/>
      <name val="Arial"/>
    </font>
    <font>
      <b/>
      <sz val="10.0"/>
      <color rgb="FFCC0000"/>
      <name val="Arial"/>
    </font>
    <font>
      <color theme="1"/>
      <name val="Calibri"/>
      <scheme val="minor"/>
    </font>
    <font>
      <b/>
      <sz val="12.0"/>
      <color rgb="FFCC0000"/>
      <name val="Arial"/>
    </font>
    <font>
      <i/>
      <sz val="9.0"/>
      <color rgb="FF444444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EFF7"/>
        <bgColor rgb="FFE8EFF7"/>
      </patternFill>
    </fill>
    <fill>
      <patternFill patternType="solid">
        <fgColor rgb="FF1A3C5E"/>
        <bgColor rgb="FF1A3C5E"/>
      </patternFill>
    </fill>
    <fill>
      <patternFill patternType="solid">
        <fgColor rgb="FFDCE6F0"/>
        <bgColor rgb="FFDCE6F0"/>
      </patternFill>
    </fill>
    <fill>
      <patternFill patternType="solid">
        <fgColor rgb="FFF5F8FA"/>
        <bgColor rgb="FFF5F8FA"/>
      </patternFill>
    </fill>
    <fill>
      <patternFill patternType="solid">
        <fgColor rgb="FFE0E8F0"/>
        <bgColor rgb="FFE0E8F0"/>
      </patternFill>
    </fill>
    <fill>
      <patternFill patternType="solid">
        <fgColor rgb="FFE65100"/>
        <bgColor rgb="FFE65100"/>
      </patternFill>
    </fill>
    <fill>
      <patternFill patternType="solid">
        <fgColor rgb="FF2E7D32"/>
        <bgColor rgb="FF2E7D32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top style="medium">
        <color rgb="FF1A3C5E"/>
      </top>
      <bottom style="medium">
        <color rgb="FF1A3C5E"/>
      </bottom>
    </border>
    <border>
      <top style="medium">
        <color rgb="FF1A3C5E"/>
      </top>
      <bottom style="medium">
        <color rgb="FF1A3C5E"/>
      </bottom>
    </border>
    <border>
      <right style="thin">
        <color rgb="FF000000"/>
      </right>
      <top style="medium">
        <color rgb="FF1A3C5E"/>
      </top>
      <bottom style="medium">
        <color rgb="FF1A3C5E"/>
      </bottom>
    </border>
    <border>
      <left style="thin">
        <color rgb="FF000000"/>
      </left>
      <right style="thin">
        <color rgb="FF000000"/>
      </right>
      <top style="medium">
        <color rgb="FF1A3C5E"/>
      </top>
      <bottom style="medium">
        <color rgb="FF1A3C5E"/>
      </bottom>
    </border>
    <border>
      <left/>
      <right/>
      <top/>
      <bottom/>
    </border>
    <border>
      <left/>
      <top style="medium">
        <color rgb="FF1A3C5E"/>
      </top>
      <bottom style="thin">
        <color rgb="FF000000"/>
      </bottom>
    </border>
    <border>
      <top style="medium">
        <color rgb="FF1A3C5E"/>
      </top>
      <bottom style="thin">
        <color rgb="FF000000"/>
      </bottom>
    </border>
    <border>
      <right/>
      <top style="medium">
        <color rgb="FF1A3C5E"/>
      </top>
      <bottom style="thin">
        <color rgb="FF000000"/>
      </bottom>
    </border>
    <border>
      <left/>
      <right/>
      <top style="medium">
        <color rgb="FF1A3C5E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0"/>
    </xf>
    <xf borderId="4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5" numFmtId="4" xfId="0" applyAlignment="1" applyBorder="1" applyFont="1" applyNumberForma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5" fontId="5" numFmtId="0" xfId="0" applyAlignment="1" applyBorder="1" applyFill="1" applyFont="1">
      <alignment horizontal="center" shrinkToFit="0" vertical="top" wrapText="1"/>
    </xf>
    <xf borderId="4" fillId="5" fontId="5" numFmtId="0" xfId="0" applyAlignment="1" applyBorder="1" applyFont="1">
      <alignment shrinkToFit="0" vertical="top" wrapText="1"/>
    </xf>
    <xf borderId="4" fillId="5" fontId="6" numFmtId="0" xfId="0" applyAlignment="1" applyBorder="1" applyFont="1">
      <alignment shrinkToFit="0" vertical="top" wrapText="1"/>
    </xf>
    <xf borderId="4" fillId="5" fontId="5" numFmtId="4" xfId="0" applyAlignment="1" applyBorder="1" applyFont="1" applyNumberFormat="1">
      <alignment shrinkToFit="0" vertical="top" wrapText="1"/>
    </xf>
    <xf borderId="4" fillId="5" fontId="8" numFmtId="0" xfId="0" applyAlignment="1" applyBorder="1" applyFont="1">
      <alignment shrinkToFit="0" vertical="top" wrapText="1"/>
    </xf>
    <xf borderId="5" fillId="6" fontId="9" numFmtId="0" xfId="0" applyAlignment="1" applyBorder="1" applyFill="1" applyFont="1">
      <alignment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6" fontId="10" numFmtId="0" xfId="0" applyAlignment="1" applyBorder="1" applyFont="1">
      <alignment horizontal="center" shrinkToFit="0" vertical="top" wrapText="1"/>
    </xf>
    <xf borderId="8" fillId="6" fontId="11" numFmtId="0" xfId="0" applyAlignment="1" applyBorder="1" applyFont="1">
      <alignment shrinkToFit="0" vertical="bottom" wrapText="0"/>
    </xf>
    <xf borderId="8" fillId="6" fontId="12" numFmtId="164" xfId="0" applyAlignment="1" applyBorder="1" applyFont="1" applyNumberFormat="1">
      <alignment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9" fillId="3" fontId="3" numFmtId="0" xfId="0" applyAlignment="1" applyBorder="1" applyFont="1">
      <alignment horizontal="center" shrinkToFit="0" vertical="bottom" wrapText="1"/>
    </xf>
    <xf borderId="1" fillId="7" fontId="14" numFmtId="0" xfId="0" applyAlignment="1" applyBorder="1" applyFill="1" applyFont="1">
      <alignment shrinkToFit="0" vertical="bottom" wrapText="0"/>
    </xf>
    <xf borderId="4" fillId="5" fontId="11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readingOrder="0" shrinkToFit="0" vertical="top" wrapText="1"/>
    </xf>
    <xf borderId="4" fillId="5" fontId="11" numFmtId="0" xfId="0" applyAlignment="1" applyBorder="1" applyFont="1">
      <alignment horizontal="center" shrinkToFit="0" vertical="top" wrapText="1"/>
    </xf>
    <xf borderId="4" fillId="5" fontId="11" numFmtId="4" xfId="0" applyAlignment="1" applyBorder="1" applyFont="1" applyNumberFormat="1">
      <alignment readingOrder="0" shrinkToFit="0" vertical="bottom" wrapText="0"/>
    </xf>
    <xf borderId="4" fillId="5" fontId="11" numFmtId="4" xfId="0" applyAlignment="1" applyBorder="1" applyFont="1" applyNumberFormat="1">
      <alignment shrinkToFit="0" vertical="bottom" wrapText="0"/>
    </xf>
    <xf borderId="4" fillId="5" fontId="15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center" shrinkToFit="0" vertical="top" wrapText="1"/>
    </xf>
    <xf borderId="4" fillId="0" fontId="11" numFmtId="4" xfId="0" applyAlignment="1" applyBorder="1" applyFont="1" applyNumberFormat="1">
      <alignment readingOrder="0" shrinkToFit="0" vertical="bottom" wrapText="0"/>
    </xf>
    <xf borderId="4" fillId="0" fontId="11" numFmtId="4" xfId="0" applyAlignment="1" applyBorder="1" applyFont="1" applyNumberFormat="1">
      <alignment shrinkToFit="0" vertical="bottom" wrapText="0"/>
    </xf>
    <xf borderId="4" fillId="0" fontId="16" numFmtId="0" xfId="0" applyAlignment="1" applyBorder="1" applyFont="1">
      <alignment readingOrder="0" shrinkToFit="0" vertical="top" wrapText="1"/>
    </xf>
    <xf borderId="10" fillId="2" fontId="17" numFmtId="0" xfId="0" applyAlignment="1" applyBorder="1" applyFont="1">
      <alignment horizontal="right" shrinkToFit="0" vertical="bottom" wrapText="0"/>
    </xf>
    <xf borderId="11" fillId="0" fontId="2" numFmtId="0" xfId="0" applyBorder="1" applyFont="1"/>
    <xf borderId="12" fillId="0" fontId="2" numFmtId="0" xfId="0" applyBorder="1" applyFont="1"/>
    <xf borderId="13" fillId="2" fontId="18" numFmtId="164" xfId="0" applyAlignment="1" applyBorder="1" applyFont="1" applyNumberFormat="1">
      <alignment shrinkToFit="0" vertical="bottom" wrapText="0"/>
    </xf>
    <xf borderId="13" fillId="2" fontId="11" numFmtId="0" xfId="0" applyAlignment="1" applyBorder="1" applyFont="1">
      <alignment shrinkToFit="0" vertical="bottom" wrapText="0"/>
    </xf>
    <xf borderId="1" fillId="8" fontId="14" numFmtId="0" xfId="0" applyAlignment="1" applyBorder="1" applyFill="1" applyFont="1">
      <alignment shrinkToFit="0" vertical="bottom" wrapText="0"/>
    </xf>
    <xf borderId="0" fillId="0" fontId="19" numFmtId="0" xfId="0" applyAlignment="1" applyFont="1">
      <alignment readingOrder="0"/>
    </xf>
    <xf borderId="0" fillId="0" fontId="13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renc.net/kondansatorler" TargetMode="External"/><Relationship Id="rId22" Type="http://schemas.openxmlformats.org/officeDocument/2006/relationships/hyperlink" Target="https://www.direnc.net/kondansatorler" TargetMode="External"/><Relationship Id="rId21" Type="http://schemas.openxmlformats.org/officeDocument/2006/relationships/hyperlink" Target="https://www.direnc.net/direncler" TargetMode="External"/><Relationship Id="rId24" Type="http://schemas.openxmlformats.org/officeDocument/2006/relationships/hyperlink" Target="https://www.direnc.net/direncler" TargetMode="External"/><Relationship Id="rId23" Type="http://schemas.openxmlformats.org/officeDocument/2006/relationships/hyperlink" Target="https://www.direnc.net/direncler" TargetMode="External"/><Relationship Id="rId1" Type="http://schemas.openxmlformats.org/officeDocument/2006/relationships/hyperlink" Target="https://www.motorobit.com/irfz44n-55v-49a-mosfet-to220" TargetMode="External"/><Relationship Id="rId2" Type="http://schemas.openxmlformats.org/officeDocument/2006/relationships/hyperlink" Target="https://www.motorobit.com/tlp250-dip-8-optocoupler-ic-with-mosfet-driver-output" TargetMode="External"/><Relationship Id="rId3" Type="http://schemas.openxmlformats.org/officeDocument/2006/relationships/hyperlink" Target="https://www.motorobit.com/b0515s-1wr3-dc-dc-1w-45-55v-input-15v-output-voltage-converter" TargetMode="External"/><Relationship Id="rId4" Type="http://schemas.openxmlformats.org/officeDocument/2006/relationships/hyperlink" Target="https://www.direnc.net/1n5408-do201-3a-1000v-diyot" TargetMode="External"/><Relationship Id="rId9" Type="http://schemas.openxmlformats.org/officeDocument/2006/relationships/hyperlink" Target="https://www.motorobit.com/6n137-dip-8-digital-output-optocoupler-ic" TargetMode="External"/><Relationship Id="rId26" Type="http://schemas.openxmlformats.org/officeDocument/2006/relationships/hyperlink" Target="https://www.direnc.net/kondansatorler" TargetMode="External"/><Relationship Id="rId25" Type="http://schemas.openxmlformats.org/officeDocument/2006/relationships/hyperlink" Target="https://www.direnc.net/direncler" TargetMode="External"/><Relationship Id="rId28" Type="http://schemas.openxmlformats.org/officeDocument/2006/relationships/hyperlink" Target="https://www.direnc.net/direncler" TargetMode="External"/><Relationship Id="rId27" Type="http://schemas.openxmlformats.org/officeDocument/2006/relationships/hyperlink" Target="https://www.direnc.net/kondansatorler" TargetMode="External"/><Relationship Id="rId5" Type="http://schemas.openxmlformats.org/officeDocument/2006/relationships/hyperlink" Target="https://www.direnc.net/uf4007-1a-1000v-tht-hizli-diyot-do41" TargetMode="External"/><Relationship Id="rId6" Type="http://schemas.openxmlformats.org/officeDocument/2006/relationships/hyperlink" Target="https://www.motorobit.com/transil-diyot" TargetMode="External"/><Relationship Id="rId29" Type="http://schemas.openxmlformats.org/officeDocument/2006/relationships/hyperlink" Target="https://www.direnc.net/direncler" TargetMode="External"/><Relationship Id="rId7" Type="http://schemas.openxmlformats.org/officeDocument/2006/relationships/hyperlink" Target="https://www.motorobit.com/20-to-20a-acs712-current-sensor" TargetMode="External"/><Relationship Id="rId8" Type="http://schemas.openxmlformats.org/officeDocument/2006/relationships/hyperlink" Target="https://www.direnc.net/mcp3201-dip8-analog-dijital-cevirici-entegre" TargetMode="External"/><Relationship Id="rId31" Type="http://schemas.openxmlformats.org/officeDocument/2006/relationships/hyperlink" Target="https://www.direnc.net/konnektorler" TargetMode="External"/><Relationship Id="rId30" Type="http://schemas.openxmlformats.org/officeDocument/2006/relationships/hyperlink" Target="https://www.direnc.net/konnektorler" TargetMode="External"/><Relationship Id="rId11" Type="http://schemas.openxmlformats.org/officeDocument/2006/relationships/hyperlink" Target="https://www.direnc.net/kondansatorler" TargetMode="External"/><Relationship Id="rId33" Type="http://schemas.openxmlformats.org/officeDocument/2006/relationships/hyperlink" Target="https://www.robotistan.com/" TargetMode="External"/><Relationship Id="rId10" Type="http://schemas.openxmlformats.org/officeDocument/2006/relationships/hyperlink" Target="https://www.motorobit.com/78l05-voltaj-regulatoru-to92" TargetMode="External"/><Relationship Id="rId32" Type="http://schemas.openxmlformats.org/officeDocument/2006/relationships/hyperlink" Target="https://www.robotistan.com/" TargetMode="External"/><Relationship Id="rId13" Type="http://schemas.openxmlformats.org/officeDocument/2006/relationships/hyperlink" Target="https://www.robotistan.com/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direnc.net/direncler" TargetMode="External"/><Relationship Id="rId34" Type="http://schemas.openxmlformats.org/officeDocument/2006/relationships/hyperlink" Target="https://www.direnc.net/entegre-soketleri" TargetMode="External"/><Relationship Id="rId15" Type="http://schemas.openxmlformats.org/officeDocument/2006/relationships/hyperlink" Target="https://www.direnc.net/direncler" TargetMode="External"/><Relationship Id="rId14" Type="http://schemas.openxmlformats.org/officeDocument/2006/relationships/hyperlink" Target="https://www.direnc.net/direncler" TargetMode="External"/><Relationship Id="rId17" Type="http://schemas.openxmlformats.org/officeDocument/2006/relationships/hyperlink" Target="https://www.direnc.net/kondansatorler" TargetMode="External"/><Relationship Id="rId16" Type="http://schemas.openxmlformats.org/officeDocument/2006/relationships/hyperlink" Target="https://www.direnc.net/direncler" TargetMode="External"/><Relationship Id="rId19" Type="http://schemas.openxmlformats.org/officeDocument/2006/relationships/hyperlink" Target="https://www.direnc.net/direncler" TargetMode="External"/><Relationship Id="rId18" Type="http://schemas.openxmlformats.org/officeDocument/2006/relationships/hyperlink" Target="https://www.direnc.net/kondansatorle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renc.net/kondansatorler" TargetMode="External"/><Relationship Id="rId22" Type="http://schemas.openxmlformats.org/officeDocument/2006/relationships/hyperlink" Target="https://www.direnc.net/direncler" TargetMode="External"/><Relationship Id="rId21" Type="http://schemas.openxmlformats.org/officeDocument/2006/relationships/hyperlink" Target="https://www.direnc.net/direncler" TargetMode="External"/><Relationship Id="rId24" Type="http://schemas.openxmlformats.org/officeDocument/2006/relationships/hyperlink" Target="https://www.direnc.net/konnektorler" TargetMode="External"/><Relationship Id="rId23" Type="http://schemas.openxmlformats.org/officeDocument/2006/relationships/hyperlink" Target="https://www.direnc.net/direncler" TargetMode="External"/><Relationship Id="rId1" Type="http://schemas.openxmlformats.org/officeDocument/2006/relationships/hyperlink" Target="https://www.motorobit.com/irfb4110-100v-180a-mosfet-to220-en?utm_source=chatgpt.com" TargetMode="External"/><Relationship Id="rId2" Type="http://schemas.openxmlformats.org/officeDocument/2006/relationships/hyperlink" Target="https://www.motorobit.com/tlp250-dip-8-optocoupler-ic-with-mosfet-driver-output" TargetMode="External"/><Relationship Id="rId3" Type="http://schemas.openxmlformats.org/officeDocument/2006/relationships/hyperlink" Target="https://www.motorobit.com/b0515s-1wr3-dc-dc-1w-45-55v-input-15v-output-voltage-converter" TargetMode="External"/><Relationship Id="rId4" Type="http://schemas.openxmlformats.org/officeDocument/2006/relationships/hyperlink" Target="https://www.motorobit.com/transil-diyot" TargetMode="External"/><Relationship Id="rId9" Type="http://schemas.openxmlformats.org/officeDocument/2006/relationships/hyperlink" Target="https://www.motorobit.com/to220-aluminyum-sogutucu-heatsink-15x10x20mm" TargetMode="External"/><Relationship Id="rId26" Type="http://schemas.openxmlformats.org/officeDocument/2006/relationships/hyperlink" Target="https://www.direnc.net/entegre-soketleri" TargetMode="External"/><Relationship Id="rId25" Type="http://schemas.openxmlformats.org/officeDocument/2006/relationships/hyperlink" Target="https://www.direnc.net/konnektorler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motorobit.com/20-to-20a-acs712-current-sensor" TargetMode="External"/><Relationship Id="rId6" Type="http://schemas.openxmlformats.org/officeDocument/2006/relationships/hyperlink" Target="https://www.motorobit.com/6n137-dip-8-digital-output-optocoupler-ic" TargetMode="External"/><Relationship Id="rId7" Type="http://schemas.openxmlformats.org/officeDocument/2006/relationships/hyperlink" Target="https://www.motorobit.com/uf4007-1000v-1a-fast-diode" TargetMode="External"/><Relationship Id="rId8" Type="http://schemas.openxmlformats.org/officeDocument/2006/relationships/hyperlink" Target="https://www.motorobit.com/15-amper-oto-sigorta-bicak-sigorta" TargetMode="External"/><Relationship Id="rId11" Type="http://schemas.openxmlformats.org/officeDocument/2006/relationships/hyperlink" Target="https://www.motorobit.com/18-awg-silikon-kablo-kirmizi-1-metre" TargetMode="External"/><Relationship Id="rId10" Type="http://schemas.openxmlformats.org/officeDocument/2006/relationships/hyperlink" Target="https://www.motorobit.com/78l05-voltaj-regulatoru-to92" TargetMode="External"/><Relationship Id="rId13" Type="http://schemas.openxmlformats.org/officeDocument/2006/relationships/hyperlink" Target="https://www.direnc.net/1n5408-do201-3a-1000v-diyot" TargetMode="External"/><Relationship Id="rId12" Type="http://schemas.openxmlformats.org/officeDocument/2006/relationships/hyperlink" Target="https://www.direnc.net/mcp3201-dip8-analog-dijital-cevirici-entegre" TargetMode="External"/><Relationship Id="rId15" Type="http://schemas.openxmlformats.org/officeDocument/2006/relationships/hyperlink" Target="https://www.direnc.net/kondansatorler" TargetMode="External"/><Relationship Id="rId14" Type="http://schemas.openxmlformats.org/officeDocument/2006/relationships/hyperlink" Target="https://www.direnc.net/kondansatorler" TargetMode="External"/><Relationship Id="rId17" Type="http://schemas.openxmlformats.org/officeDocument/2006/relationships/hyperlink" Target="https://www.direnc.net/kondansatorler" TargetMode="External"/><Relationship Id="rId16" Type="http://schemas.openxmlformats.org/officeDocument/2006/relationships/hyperlink" Target="https://www.direnc.net/kondansatorler" TargetMode="External"/><Relationship Id="rId19" Type="http://schemas.openxmlformats.org/officeDocument/2006/relationships/hyperlink" Target="https://www.direnc.net/kondansatorler" TargetMode="External"/><Relationship Id="rId18" Type="http://schemas.openxmlformats.org/officeDocument/2006/relationships/hyperlink" Target="https://www.direnc.net/kondansator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26.0"/>
    <col customWidth="1" min="4" max="4" width="12.0"/>
    <col customWidth="1" min="5" max="7" width="7.0"/>
    <col customWidth="1" min="8" max="8" width="34.0"/>
    <col customWidth="1" min="9" max="9" width="16.0"/>
    <col customWidth="1" min="10" max="12" width="14.0"/>
    <col customWidth="1" min="13" max="13" width="16.0"/>
    <col customWidth="1" min="14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3" ht="27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ht="21.75" customHeight="1">
      <c r="A4" s="5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>
      <c r="A5" s="6">
        <v>1.0</v>
      </c>
      <c r="B5" s="7" t="s">
        <v>15</v>
      </c>
      <c r="C5" s="7" t="s">
        <v>16</v>
      </c>
      <c r="D5" s="7" t="s">
        <v>17</v>
      </c>
      <c r="E5" s="6">
        <v>8.0</v>
      </c>
      <c r="F5" s="6">
        <v>4.0</v>
      </c>
      <c r="G5" s="6">
        <v>12.0</v>
      </c>
      <c r="H5" s="7" t="s">
        <v>18</v>
      </c>
      <c r="I5" s="7" t="s">
        <v>19</v>
      </c>
      <c r="J5" s="8" t="s">
        <v>20</v>
      </c>
      <c r="K5" s="9">
        <v>18.0</v>
      </c>
      <c r="L5" s="9">
        <v>216.0</v>
      </c>
      <c r="M5" s="10" t="s">
        <v>19</v>
      </c>
    </row>
    <row r="6">
      <c r="A6" s="11">
        <v>2.0</v>
      </c>
      <c r="B6" s="12" t="s">
        <v>21</v>
      </c>
      <c r="C6" s="12" t="s">
        <v>22</v>
      </c>
      <c r="D6" s="12" t="s">
        <v>23</v>
      </c>
      <c r="E6" s="11">
        <v>8.0</v>
      </c>
      <c r="F6" s="11">
        <v>2.0</v>
      </c>
      <c r="G6" s="11">
        <v>10.0</v>
      </c>
      <c r="H6" s="12" t="s">
        <v>24</v>
      </c>
      <c r="I6" s="12" t="s">
        <v>19</v>
      </c>
      <c r="J6" s="13" t="s">
        <v>20</v>
      </c>
      <c r="K6" s="14">
        <v>40.0</v>
      </c>
      <c r="L6" s="14">
        <v>400.0</v>
      </c>
      <c r="M6" s="15" t="s">
        <v>19</v>
      </c>
    </row>
    <row r="7">
      <c r="A7" s="6">
        <v>3.0</v>
      </c>
      <c r="B7" s="7" t="s">
        <v>25</v>
      </c>
      <c r="C7" s="7" t="s">
        <v>26</v>
      </c>
      <c r="D7" s="7" t="s">
        <v>27</v>
      </c>
      <c r="E7" s="6">
        <v>4.0</v>
      </c>
      <c r="F7" s="6">
        <v>2.0</v>
      </c>
      <c r="G7" s="6">
        <v>6.0</v>
      </c>
      <c r="H7" s="7" t="s">
        <v>28</v>
      </c>
      <c r="I7" s="7" t="s">
        <v>19</v>
      </c>
      <c r="J7" s="8" t="s">
        <v>20</v>
      </c>
      <c r="K7" s="9">
        <v>78.0</v>
      </c>
      <c r="L7" s="9">
        <v>468.0</v>
      </c>
      <c r="M7" s="10" t="s">
        <v>19</v>
      </c>
    </row>
    <row r="8">
      <c r="A8" s="11">
        <v>4.0</v>
      </c>
      <c r="B8" s="12" t="s">
        <v>29</v>
      </c>
      <c r="C8" s="12" t="s">
        <v>30</v>
      </c>
      <c r="D8" s="12" t="s">
        <v>31</v>
      </c>
      <c r="E8" s="11">
        <v>2.0</v>
      </c>
      <c r="F8" s="11">
        <v>2.0</v>
      </c>
      <c r="G8" s="11">
        <v>4.0</v>
      </c>
      <c r="H8" s="12" t="s">
        <v>32</v>
      </c>
      <c r="I8" s="12" t="s">
        <v>33</v>
      </c>
      <c r="J8" s="13" t="s">
        <v>34</v>
      </c>
      <c r="K8" s="14">
        <v>2.5</v>
      </c>
      <c r="L8" s="14">
        <v>10.0</v>
      </c>
      <c r="M8" s="15" t="s">
        <v>33</v>
      </c>
    </row>
    <row r="9">
      <c r="A9" s="6">
        <v>5.0</v>
      </c>
      <c r="B9" s="7" t="s">
        <v>35</v>
      </c>
      <c r="C9" s="7" t="s">
        <v>36</v>
      </c>
      <c r="D9" s="7" t="s">
        <v>37</v>
      </c>
      <c r="E9" s="6">
        <v>4.0</v>
      </c>
      <c r="F9" s="6">
        <v>4.0</v>
      </c>
      <c r="G9" s="6">
        <v>8.0</v>
      </c>
      <c r="H9" s="7" t="s">
        <v>38</v>
      </c>
      <c r="I9" s="7" t="s">
        <v>33</v>
      </c>
      <c r="J9" s="8" t="s">
        <v>39</v>
      </c>
      <c r="K9" s="9">
        <v>2.2</v>
      </c>
      <c r="L9" s="9">
        <v>17.6</v>
      </c>
      <c r="M9" s="10" t="s">
        <v>33</v>
      </c>
    </row>
    <row r="10">
      <c r="A10" s="11">
        <v>6.0</v>
      </c>
      <c r="B10" s="12" t="s">
        <v>40</v>
      </c>
      <c r="C10" s="12" t="s">
        <v>41</v>
      </c>
      <c r="D10" s="12" t="s">
        <v>31</v>
      </c>
      <c r="E10" s="11">
        <v>2.0</v>
      </c>
      <c r="F10" s="11">
        <v>2.0</v>
      </c>
      <c r="G10" s="11">
        <v>4.0</v>
      </c>
      <c r="H10" s="12" t="s">
        <v>42</v>
      </c>
      <c r="I10" s="12" t="s">
        <v>19</v>
      </c>
      <c r="J10" s="13" t="s">
        <v>20</v>
      </c>
      <c r="K10" s="14">
        <v>10.0</v>
      </c>
      <c r="L10" s="14">
        <v>40.0</v>
      </c>
      <c r="M10" s="15" t="s">
        <v>19</v>
      </c>
    </row>
    <row r="11" ht="21.75" customHeight="1">
      <c r="A11" s="5" t="s">
        <v>43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>
      <c r="A12" s="11">
        <v>7.0</v>
      </c>
      <c r="B12" s="12" t="s">
        <v>44</v>
      </c>
      <c r="C12" s="12" t="s">
        <v>45</v>
      </c>
      <c r="D12" s="12" t="s">
        <v>46</v>
      </c>
      <c r="E12" s="11">
        <v>1.0</v>
      </c>
      <c r="F12" s="11">
        <v>1.0</v>
      </c>
      <c r="G12" s="11">
        <v>2.0</v>
      </c>
      <c r="H12" s="12" t="s">
        <v>47</v>
      </c>
      <c r="I12" s="12" t="s">
        <v>19</v>
      </c>
      <c r="J12" s="13" t="s">
        <v>48</v>
      </c>
      <c r="K12" s="14">
        <v>55.0</v>
      </c>
      <c r="L12" s="14">
        <v>110.0</v>
      </c>
      <c r="M12" s="15" t="s">
        <v>19</v>
      </c>
    </row>
    <row r="13">
      <c r="A13" s="6">
        <v>8.0</v>
      </c>
      <c r="B13" s="7" t="s">
        <v>49</v>
      </c>
      <c r="C13" s="7" t="s">
        <v>50</v>
      </c>
      <c r="D13" s="7" t="s">
        <v>23</v>
      </c>
      <c r="E13" s="6">
        <v>3.0</v>
      </c>
      <c r="F13" s="6">
        <v>1.0</v>
      </c>
      <c r="G13" s="6">
        <v>4.0</v>
      </c>
      <c r="H13" s="7" t="s">
        <v>51</v>
      </c>
      <c r="I13" s="7" t="s">
        <v>33</v>
      </c>
      <c r="J13" s="8" t="s">
        <v>52</v>
      </c>
      <c r="K13" s="9">
        <v>81.0</v>
      </c>
      <c r="L13" s="9">
        <v>324.0</v>
      </c>
      <c r="M13" s="10" t="s">
        <v>33</v>
      </c>
    </row>
    <row r="14">
      <c r="A14" s="11">
        <v>9.0</v>
      </c>
      <c r="B14" s="12" t="s">
        <v>53</v>
      </c>
      <c r="C14" s="12" t="s">
        <v>54</v>
      </c>
      <c r="D14" s="12" t="s">
        <v>23</v>
      </c>
      <c r="E14" s="11">
        <v>6.0</v>
      </c>
      <c r="F14" s="11">
        <v>2.0</v>
      </c>
      <c r="G14" s="11">
        <v>8.0</v>
      </c>
      <c r="H14" s="12" t="s">
        <v>55</v>
      </c>
      <c r="I14" s="12" t="s">
        <v>19</v>
      </c>
      <c r="J14" s="13" t="s">
        <v>20</v>
      </c>
      <c r="K14" s="14">
        <v>12.0</v>
      </c>
      <c r="L14" s="14">
        <v>96.0</v>
      </c>
      <c r="M14" s="15" t="s">
        <v>19</v>
      </c>
    </row>
    <row r="15">
      <c r="A15" s="6">
        <v>10.0</v>
      </c>
      <c r="B15" s="7" t="s">
        <v>56</v>
      </c>
      <c r="C15" s="7" t="s">
        <v>57</v>
      </c>
      <c r="D15" s="7" t="s">
        <v>58</v>
      </c>
      <c r="E15" s="6">
        <v>2.0</v>
      </c>
      <c r="F15" s="6">
        <v>1.0</v>
      </c>
      <c r="G15" s="6">
        <v>3.0</v>
      </c>
      <c r="H15" s="7" t="s">
        <v>59</v>
      </c>
      <c r="I15" s="7" t="s">
        <v>19</v>
      </c>
      <c r="J15" s="8" t="s">
        <v>20</v>
      </c>
      <c r="K15" s="9">
        <v>3.0</v>
      </c>
      <c r="L15" s="9">
        <v>9.0</v>
      </c>
      <c r="M15" s="10" t="s">
        <v>19</v>
      </c>
    </row>
    <row r="16" ht="21.75" customHeight="1">
      <c r="A16" s="5" t="s">
        <v>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>
      <c r="A17" s="6">
        <v>11.0</v>
      </c>
      <c r="B17" s="7" t="s">
        <v>61</v>
      </c>
      <c r="C17" s="7" t="s">
        <v>62</v>
      </c>
      <c r="D17" s="7" t="s">
        <v>63</v>
      </c>
      <c r="E17" s="6">
        <v>2.0</v>
      </c>
      <c r="F17" s="6">
        <v>0.0</v>
      </c>
      <c r="G17" s="6">
        <v>2.0</v>
      </c>
      <c r="H17" s="7" t="s">
        <v>64</v>
      </c>
      <c r="I17" s="7" t="s">
        <v>33</v>
      </c>
      <c r="J17" s="8" t="s">
        <v>20</v>
      </c>
      <c r="K17" s="9">
        <v>25.0</v>
      </c>
      <c r="L17" s="9">
        <v>50.0</v>
      </c>
      <c r="M17" s="10" t="s">
        <v>33</v>
      </c>
    </row>
    <row r="18">
      <c r="A18" s="11">
        <v>12.0</v>
      </c>
      <c r="B18" s="12" t="s">
        <v>65</v>
      </c>
      <c r="C18" s="12" t="s">
        <v>66</v>
      </c>
      <c r="D18" s="12" t="s">
        <v>67</v>
      </c>
      <c r="E18" s="11">
        <v>2.0</v>
      </c>
      <c r="F18" s="11">
        <v>0.0</v>
      </c>
      <c r="G18" s="11">
        <v>2.0</v>
      </c>
      <c r="H18" s="12" t="s">
        <v>68</v>
      </c>
      <c r="I18" s="12" t="s">
        <v>33</v>
      </c>
      <c r="J18" s="13" t="s">
        <v>20</v>
      </c>
      <c r="K18" s="14">
        <v>2.0</v>
      </c>
      <c r="L18" s="14">
        <v>4.0</v>
      </c>
      <c r="M18" s="15" t="s">
        <v>33</v>
      </c>
    </row>
    <row r="19">
      <c r="A19" s="6">
        <v>13.0</v>
      </c>
      <c r="B19" s="7" t="s">
        <v>69</v>
      </c>
      <c r="C19" s="7" t="s">
        <v>70</v>
      </c>
      <c r="D19" s="7" t="s">
        <v>71</v>
      </c>
      <c r="E19" s="6">
        <v>2.0</v>
      </c>
      <c r="F19" s="6">
        <v>2.0</v>
      </c>
      <c r="G19" s="6">
        <v>4.0</v>
      </c>
      <c r="H19" s="7" t="s">
        <v>72</v>
      </c>
      <c r="I19" s="7" t="s">
        <v>73</v>
      </c>
      <c r="J19" s="8" t="s">
        <v>20</v>
      </c>
      <c r="K19" s="9">
        <v>8.0</v>
      </c>
      <c r="L19" s="9">
        <v>32.0</v>
      </c>
      <c r="M19" s="10" t="s">
        <v>73</v>
      </c>
    </row>
    <row r="20" ht="21.75" customHeight="1">
      <c r="A20" s="5" t="s">
        <v>74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ht="15.75" customHeight="1">
      <c r="A21" s="6">
        <v>14.0</v>
      </c>
      <c r="B21" s="7" t="s">
        <v>75</v>
      </c>
      <c r="C21" s="7" t="s">
        <v>76</v>
      </c>
      <c r="D21" s="7" t="s">
        <v>67</v>
      </c>
      <c r="E21" s="6">
        <v>14.0</v>
      </c>
      <c r="F21" s="6">
        <v>0.0</v>
      </c>
      <c r="G21" s="6">
        <v>14.0</v>
      </c>
      <c r="H21" s="7" t="s">
        <v>77</v>
      </c>
      <c r="I21" s="7" t="s">
        <v>33</v>
      </c>
      <c r="J21" s="8" t="s">
        <v>39</v>
      </c>
      <c r="K21" s="9">
        <v>0.3</v>
      </c>
      <c r="L21" s="9">
        <v>4.2</v>
      </c>
      <c r="M21" s="10" t="s">
        <v>33</v>
      </c>
    </row>
    <row r="22" ht="15.75" customHeight="1">
      <c r="A22" s="11">
        <v>15.0</v>
      </c>
      <c r="B22" s="12" t="s">
        <v>78</v>
      </c>
      <c r="C22" s="12" t="s">
        <v>76</v>
      </c>
      <c r="D22" s="12" t="s">
        <v>67</v>
      </c>
      <c r="E22" s="11">
        <v>8.0</v>
      </c>
      <c r="F22" s="11">
        <v>0.0</v>
      </c>
      <c r="G22" s="11">
        <v>8.0</v>
      </c>
      <c r="H22" s="12" t="s">
        <v>79</v>
      </c>
      <c r="I22" s="12" t="s">
        <v>33</v>
      </c>
      <c r="J22" s="13" t="s">
        <v>39</v>
      </c>
      <c r="K22" s="14">
        <v>0.3</v>
      </c>
      <c r="L22" s="14">
        <v>2.4</v>
      </c>
      <c r="M22" s="15" t="s">
        <v>33</v>
      </c>
    </row>
    <row r="23" ht="15.75" customHeight="1">
      <c r="A23" s="6">
        <v>16.0</v>
      </c>
      <c r="B23" s="7" t="s">
        <v>80</v>
      </c>
      <c r="C23" s="7" t="s">
        <v>76</v>
      </c>
      <c r="D23" s="7" t="s">
        <v>67</v>
      </c>
      <c r="E23" s="6">
        <v>8.0</v>
      </c>
      <c r="F23" s="6">
        <v>0.0</v>
      </c>
      <c r="G23" s="6">
        <v>8.0</v>
      </c>
      <c r="H23" s="7" t="s">
        <v>81</v>
      </c>
      <c r="I23" s="7" t="s">
        <v>33</v>
      </c>
      <c r="J23" s="8" t="s">
        <v>39</v>
      </c>
      <c r="K23" s="9">
        <v>0.3</v>
      </c>
      <c r="L23" s="9">
        <v>2.4</v>
      </c>
      <c r="M23" s="10" t="s">
        <v>33</v>
      </c>
    </row>
    <row r="24" ht="15.75" customHeight="1">
      <c r="A24" s="11">
        <v>17.0</v>
      </c>
      <c r="B24" s="12" t="s">
        <v>82</v>
      </c>
      <c r="C24" s="12" t="s">
        <v>83</v>
      </c>
      <c r="D24" s="12" t="s">
        <v>84</v>
      </c>
      <c r="E24" s="11">
        <v>30.0</v>
      </c>
      <c r="F24" s="11">
        <v>0.0</v>
      </c>
      <c r="G24" s="11">
        <v>30.0</v>
      </c>
      <c r="H24" s="12" t="s">
        <v>85</v>
      </c>
      <c r="I24" s="12" t="s">
        <v>33</v>
      </c>
      <c r="J24" s="13" t="s">
        <v>39</v>
      </c>
      <c r="K24" s="14">
        <v>0.5</v>
      </c>
      <c r="L24" s="14">
        <v>15.0</v>
      </c>
      <c r="M24" s="15" t="s">
        <v>33</v>
      </c>
    </row>
    <row r="25" ht="21.75" customHeight="1">
      <c r="A25" s="5" t="s">
        <v>86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 ht="15.75" customHeight="1">
      <c r="A26" s="11">
        <v>18.0</v>
      </c>
      <c r="B26" s="12" t="s">
        <v>87</v>
      </c>
      <c r="C26" s="12" t="s">
        <v>88</v>
      </c>
      <c r="D26" s="12" t="s">
        <v>84</v>
      </c>
      <c r="E26" s="11">
        <v>4.0</v>
      </c>
      <c r="F26" s="11">
        <v>0.0</v>
      </c>
      <c r="G26" s="11">
        <v>4.0</v>
      </c>
      <c r="H26" s="12" t="s">
        <v>89</v>
      </c>
      <c r="I26" s="12" t="s">
        <v>33</v>
      </c>
      <c r="J26" s="13" t="s">
        <v>20</v>
      </c>
      <c r="K26" s="14">
        <v>1.5</v>
      </c>
      <c r="L26" s="14">
        <v>6.0</v>
      </c>
      <c r="M26" s="15" t="s">
        <v>33</v>
      </c>
    </row>
    <row r="27" ht="21.75" customHeight="1">
      <c r="A27" s="5" t="s">
        <v>90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5.75" customHeight="1">
      <c r="A28" s="11">
        <v>19.0</v>
      </c>
      <c r="B28" s="12" t="s">
        <v>91</v>
      </c>
      <c r="C28" s="12" t="s">
        <v>92</v>
      </c>
      <c r="D28" s="12" t="s">
        <v>67</v>
      </c>
      <c r="E28" s="11">
        <v>8.0</v>
      </c>
      <c r="F28" s="11">
        <v>0.0</v>
      </c>
      <c r="G28" s="11">
        <v>8.0</v>
      </c>
      <c r="H28" s="12" t="s">
        <v>93</v>
      </c>
      <c r="I28" s="12" t="s">
        <v>33</v>
      </c>
      <c r="J28" s="13" t="s">
        <v>20</v>
      </c>
      <c r="K28" s="14">
        <v>1.5</v>
      </c>
      <c r="L28" s="14">
        <v>12.0</v>
      </c>
      <c r="M28" s="15" t="s">
        <v>33</v>
      </c>
    </row>
    <row r="29" ht="15.75" customHeight="1">
      <c r="A29" s="6">
        <v>20.0</v>
      </c>
      <c r="B29" s="7" t="s">
        <v>94</v>
      </c>
      <c r="C29" s="7" t="s">
        <v>95</v>
      </c>
      <c r="D29" s="7" t="s">
        <v>96</v>
      </c>
      <c r="E29" s="6">
        <v>8.0</v>
      </c>
      <c r="F29" s="6">
        <v>0.0</v>
      </c>
      <c r="G29" s="6">
        <v>8.0</v>
      </c>
      <c r="H29" s="7" t="s">
        <v>97</v>
      </c>
      <c r="I29" s="7" t="s">
        <v>33</v>
      </c>
      <c r="J29" s="8" t="s">
        <v>20</v>
      </c>
      <c r="K29" s="9">
        <v>3.0</v>
      </c>
      <c r="L29" s="9">
        <v>24.0</v>
      </c>
      <c r="M29" s="10" t="s">
        <v>33</v>
      </c>
    </row>
    <row r="30" ht="21.75" customHeight="1">
      <c r="A30" s="5" t="s">
        <v>98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 ht="15.75" customHeight="1">
      <c r="A31" s="6">
        <v>21.0</v>
      </c>
      <c r="B31" s="7" t="s">
        <v>99</v>
      </c>
      <c r="C31" s="7" t="s">
        <v>100</v>
      </c>
      <c r="D31" s="7" t="s">
        <v>67</v>
      </c>
      <c r="E31" s="6">
        <v>4.0</v>
      </c>
      <c r="F31" s="6">
        <v>0.0</v>
      </c>
      <c r="G31" s="6">
        <v>4.0</v>
      </c>
      <c r="H31" s="7" t="s">
        <v>101</v>
      </c>
      <c r="I31" s="7" t="s">
        <v>33</v>
      </c>
      <c r="J31" s="8" t="s">
        <v>20</v>
      </c>
      <c r="K31" s="9">
        <v>0.3</v>
      </c>
      <c r="L31" s="9">
        <v>1.2</v>
      </c>
      <c r="M31" s="10" t="s">
        <v>33</v>
      </c>
    </row>
    <row r="32" ht="15.75" customHeight="1">
      <c r="A32" s="11">
        <v>22.0</v>
      </c>
      <c r="B32" s="12" t="s">
        <v>102</v>
      </c>
      <c r="C32" s="12" t="s">
        <v>103</v>
      </c>
      <c r="D32" s="12" t="s">
        <v>63</v>
      </c>
      <c r="E32" s="11">
        <v>2.0</v>
      </c>
      <c r="F32" s="11">
        <v>0.0</v>
      </c>
      <c r="G32" s="11">
        <v>2.0</v>
      </c>
      <c r="H32" s="12" t="s">
        <v>104</v>
      </c>
      <c r="I32" s="12" t="s">
        <v>33</v>
      </c>
      <c r="J32" s="13" t="s">
        <v>20</v>
      </c>
      <c r="K32" s="14">
        <v>1.0</v>
      </c>
      <c r="L32" s="14">
        <v>2.0</v>
      </c>
      <c r="M32" s="15" t="s">
        <v>33</v>
      </c>
    </row>
    <row r="33" ht="21.75" customHeight="1">
      <c r="A33" s="5" t="s">
        <v>105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 ht="15.75" customHeight="1">
      <c r="A34" s="11">
        <v>23.0</v>
      </c>
      <c r="B34" s="12" t="s">
        <v>106</v>
      </c>
      <c r="C34" s="12" t="s">
        <v>107</v>
      </c>
      <c r="D34" s="12" t="s">
        <v>67</v>
      </c>
      <c r="E34" s="11">
        <v>2.0</v>
      </c>
      <c r="F34" s="11">
        <v>0.0</v>
      </c>
      <c r="G34" s="11">
        <v>2.0</v>
      </c>
      <c r="H34" s="12" t="s">
        <v>108</v>
      </c>
      <c r="I34" s="12" t="s">
        <v>33</v>
      </c>
      <c r="J34" s="13" t="s">
        <v>20</v>
      </c>
      <c r="K34" s="14">
        <v>0.5</v>
      </c>
      <c r="L34" s="14">
        <v>1.0</v>
      </c>
      <c r="M34" s="15" t="s">
        <v>33</v>
      </c>
    </row>
    <row r="35" ht="15.75" customHeight="1">
      <c r="A35" s="6">
        <v>24.0</v>
      </c>
      <c r="B35" s="7" t="s">
        <v>109</v>
      </c>
      <c r="C35" s="7" t="s">
        <v>107</v>
      </c>
      <c r="D35" s="7" t="s">
        <v>67</v>
      </c>
      <c r="E35" s="6">
        <v>2.0</v>
      </c>
      <c r="F35" s="6">
        <v>0.0</v>
      </c>
      <c r="G35" s="6">
        <v>2.0</v>
      </c>
      <c r="H35" s="7" t="s">
        <v>110</v>
      </c>
      <c r="I35" s="7" t="s">
        <v>33</v>
      </c>
      <c r="J35" s="8" t="s">
        <v>20</v>
      </c>
      <c r="K35" s="9">
        <v>0.5</v>
      </c>
      <c r="L35" s="9">
        <v>1.0</v>
      </c>
      <c r="M35" s="10" t="s">
        <v>33</v>
      </c>
    </row>
    <row r="36" ht="15.75" customHeight="1">
      <c r="A36" s="11">
        <v>25.0</v>
      </c>
      <c r="B36" s="12" t="s">
        <v>111</v>
      </c>
      <c r="C36" s="12" t="s">
        <v>100</v>
      </c>
      <c r="D36" s="12" t="s">
        <v>67</v>
      </c>
      <c r="E36" s="11">
        <v>6.0</v>
      </c>
      <c r="F36" s="11">
        <v>0.0</v>
      </c>
      <c r="G36" s="11">
        <v>6.0</v>
      </c>
      <c r="H36" s="12" t="s">
        <v>112</v>
      </c>
      <c r="I36" s="12" t="s">
        <v>33</v>
      </c>
      <c r="J36" s="13" t="s">
        <v>20</v>
      </c>
      <c r="K36" s="14">
        <v>0.3</v>
      </c>
      <c r="L36" s="14">
        <v>1.8</v>
      </c>
      <c r="M36" s="15" t="s">
        <v>33</v>
      </c>
    </row>
    <row r="37" ht="15.75" customHeight="1">
      <c r="A37" s="6">
        <v>26.0</v>
      </c>
      <c r="B37" s="7" t="s">
        <v>113</v>
      </c>
      <c r="C37" s="7" t="s">
        <v>114</v>
      </c>
      <c r="D37" s="7" t="s">
        <v>84</v>
      </c>
      <c r="E37" s="6">
        <v>2.0</v>
      </c>
      <c r="F37" s="6">
        <v>0.0</v>
      </c>
      <c r="G37" s="6">
        <v>2.0</v>
      </c>
      <c r="H37" s="7" t="s">
        <v>115</v>
      </c>
      <c r="I37" s="7" t="s">
        <v>33</v>
      </c>
      <c r="J37" s="8" t="s">
        <v>20</v>
      </c>
      <c r="K37" s="9">
        <v>1.0</v>
      </c>
      <c r="L37" s="9">
        <v>2.0</v>
      </c>
      <c r="M37" s="10" t="s">
        <v>33</v>
      </c>
    </row>
    <row r="38" ht="15.75" customHeight="1">
      <c r="A38" s="11">
        <v>27.0</v>
      </c>
      <c r="B38" s="12" t="s">
        <v>116</v>
      </c>
      <c r="C38" s="12" t="s">
        <v>117</v>
      </c>
      <c r="D38" s="12" t="s">
        <v>63</v>
      </c>
      <c r="E38" s="11">
        <v>2.0</v>
      </c>
      <c r="F38" s="11">
        <v>0.0</v>
      </c>
      <c r="G38" s="11">
        <v>2.0</v>
      </c>
      <c r="H38" s="12" t="s">
        <v>118</v>
      </c>
      <c r="I38" s="12" t="s">
        <v>33</v>
      </c>
      <c r="J38" s="13" t="s">
        <v>20</v>
      </c>
      <c r="K38" s="14">
        <v>0.5</v>
      </c>
      <c r="L38" s="14">
        <v>1.0</v>
      </c>
      <c r="M38" s="15" t="s">
        <v>33</v>
      </c>
    </row>
    <row r="39" ht="21.75" customHeight="1">
      <c r="A39" s="5" t="s">
        <v>119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"/>
    </row>
    <row r="40" ht="15.75" customHeight="1">
      <c r="A40" s="11">
        <v>28.0</v>
      </c>
      <c r="B40" s="12" t="s">
        <v>120</v>
      </c>
      <c r="C40" s="12" t="s">
        <v>100</v>
      </c>
      <c r="D40" s="12" t="s">
        <v>67</v>
      </c>
      <c r="E40" s="11">
        <v>1.0</v>
      </c>
      <c r="F40" s="11">
        <v>0.0</v>
      </c>
      <c r="G40" s="11">
        <v>1.0</v>
      </c>
      <c r="H40" s="12" t="s">
        <v>121</v>
      </c>
      <c r="I40" s="12" t="s">
        <v>33</v>
      </c>
      <c r="J40" s="13" t="s">
        <v>20</v>
      </c>
      <c r="K40" s="14">
        <v>0.3</v>
      </c>
      <c r="L40" s="14">
        <v>0.3</v>
      </c>
      <c r="M40" s="15" t="s">
        <v>33</v>
      </c>
    </row>
    <row r="41" ht="15.75" customHeight="1">
      <c r="A41" s="6">
        <v>29.0</v>
      </c>
      <c r="B41" s="7" t="s">
        <v>122</v>
      </c>
      <c r="C41" s="7" t="s">
        <v>100</v>
      </c>
      <c r="D41" s="7" t="s">
        <v>67</v>
      </c>
      <c r="E41" s="6">
        <v>1.0</v>
      </c>
      <c r="F41" s="6">
        <v>0.0</v>
      </c>
      <c r="G41" s="6">
        <v>1.0</v>
      </c>
      <c r="H41" s="7" t="s">
        <v>123</v>
      </c>
      <c r="I41" s="7" t="s">
        <v>33</v>
      </c>
      <c r="J41" s="8" t="s">
        <v>20</v>
      </c>
      <c r="K41" s="9">
        <v>0.3</v>
      </c>
      <c r="L41" s="9">
        <v>0.3</v>
      </c>
      <c r="M41" s="10" t="s">
        <v>33</v>
      </c>
    </row>
    <row r="42" ht="21.75" customHeight="1">
      <c r="A42" s="5" t="s">
        <v>124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</row>
    <row r="43" ht="15.75" customHeight="1">
      <c r="A43" s="6">
        <v>30.0</v>
      </c>
      <c r="B43" s="7" t="s">
        <v>125</v>
      </c>
      <c r="C43" s="7" t="s">
        <v>126</v>
      </c>
      <c r="D43" s="7" t="s">
        <v>127</v>
      </c>
      <c r="E43" s="6">
        <v>6.0</v>
      </c>
      <c r="F43" s="6">
        <v>0.0</v>
      </c>
      <c r="G43" s="6">
        <v>6.0</v>
      </c>
      <c r="H43" s="7" t="s">
        <v>128</v>
      </c>
      <c r="I43" s="7" t="s">
        <v>33</v>
      </c>
      <c r="J43" s="8" t="s">
        <v>20</v>
      </c>
      <c r="K43" s="9">
        <v>5.0</v>
      </c>
      <c r="L43" s="9">
        <v>30.0</v>
      </c>
      <c r="M43" s="10" t="s">
        <v>33</v>
      </c>
    </row>
    <row r="44" ht="15.75" customHeight="1">
      <c r="A44" s="11">
        <v>31.0</v>
      </c>
      <c r="B44" s="12" t="s">
        <v>129</v>
      </c>
      <c r="C44" s="12" t="s">
        <v>130</v>
      </c>
      <c r="D44" s="12" t="s">
        <v>84</v>
      </c>
      <c r="E44" s="11">
        <v>1.0</v>
      </c>
      <c r="F44" s="11">
        <v>1.0</v>
      </c>
      <c r="G44" s="11">
        <v>2.0</v>
      </c>
      <c r="H44" s="12" t="s">
        <v>131</v>
      </c>
      <c r="I44" s="12" t="s">
        <v>33</v>
      </c>
      <c r="J44" s="13" t="s">
        <v>20</v>
      </c>
      <c r="K44" s="14">
        <v>3.0</v>
      </c>
      <c r="L44" s="14">
        <v>6.0</v>
      </c>
      <c r="M44" s="15" t="s">
        <v>33</v>
      </c>
    </row>
    <row r="45" ht="15.75" customHeight="1">
      <c r="A45" s="6">
        <v>32.0</v>
      </c>
      <c r="B45" s="7" t="s">
        <v>132</v>
      </c>
      <c r="C45" s="7" t="s">
        <v>133</v>
      </c>
      <c r="D45" s="7" t="s">
        <v>17</v>
      </c>
      <c r="E45" s="6">
        <v>8.0</v>
      </c>
      <c r="F45" s="6">
        <v>0.0</v>
      </c>
      <c r="G45" s="6">
        <v>8.0</v>
      </c>
      <c r="H45" s="7" t="s">
        <v>134</v>
      </c>
      <c r="I45" s="7" t="s">
        <v>73</v>
      </c>
      <c r="J45" s="8" t="s">
        <v>20</v>
      </c>
      <c r="K45" s="9">
        <v>5.0</v>
      </c>
      <c r="L45" s="9">
        <v>40.0</v>
      </c>
      <c r="M45" s="10" t="s">
        <v>73</v>
      </c>
    </row>
    <row r="46" ht="15.75" customHeight="1">
      <c r="A46" s="11">
        <v>33.0</v>
      </c>
      <c r="B46" s="12" t="s">
        <v>135</v>
      </c>
      <c r="C46" s="12" t="s">
        <v>136</v>
      </c>
      <c r="D46" s="12" t="s">
        <v>137</v>
      </c>
      <c r="E46" s="11">
        <v>1.0</v>
      </c>
      <c r="F46" s="11">
        <v>0.0</v>
      </c>
      <c r="G46" s="11">
        <v>1.0</v>
      </c>
      <c r="H46" s="12" t="s">
        <v>138</v>
      </c>
      <c r="I46" s="12" t="s">
        <v>73</v>
      </c>
      <c r="J46" s="13" t="s">
        <v>20</v>
      </c>
      <c r="K46" s="14">
        <v>30.0</v>
      </c>
      <c r="L46" s="14">
        <v>30.0</v>
      </c>
      <c r="M46" s="15" t="s">
        <v>73</v>
      </c>
    </row>
    <row r="47" ht="15.75" customHeight="1">
      <c r="A47" s="6">
        <v>34.0</v>
      </c>
      <c r="B47" s="7" t="s">
        <v>139</v>
      </c>
      <c r="C47" s="7" t="s">
        <v>140</v>
      </c>
      <c r="D47" s="7" t="s">
        <v>23</v>
      </c>
      <c r="E47" s="6">
        <v>17.0</v>
      </c>
      <c r="F47" s="6">
        <v>0.0</v>
      </c>
      <c r="G47" s="6">
        <v>17.0</v>
      </c>
      <c r="H47" s="7" t="s">
        <v>141</v>
      </c>
      <c r="I47" s="7" t="s">
        <v>33</v>
      </c>
      <c r="J47" s="8" t="s">
        <v>20</v>
      </c>
      <c r="K47" s="9">
        <v>1.5</v>
      </c>
      <c r="L47" s="9">
        <v>25.5</v>
      </c>
      <c r="M47" s="10" t="s">
        <v>33</v>
      </c>
    </row>
    <row r="48" ht="15.75" customHeight="1"/>
    <row r="49" ht="15.75" customHeight="1">
      <c r="A49" s="16" t="s">
        <v>142</v>
      </c>
      <c r="B49" s="17"/>
      <c r="C49" s="17"/>
      <c r="D49" s="17"/>
      <c r="E49" s="17"/>
      <c r="F49" s="18"/>
      <c r="G49" s="19">
        <f>SUM(G5:G47)</f>
        <v>205</v>
      </c>
      <c r="H49" s="20"/>
      <c r="I49" s="20"/>
      <c r="J49" s="20"/>
      <c r="K49" s="20"/>
      <c r="L49" s="21">
        <f>SUM(L5:L47)</f>
        <v>1984.7</v>
      </c>
      <c r="M49" s="2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0:M30"/>
    <mergeCell ref="A33:M33"/>
    <mergeCell ref="A39:M39"/>
    <mergeCell ref="A42:M42"/>
    <mergeCell ref="A49:F49"/>
    <mergeCell ref="A1:M1"/>
    <mergeCell ref="A4:M4"/>
    <mergeCell ref="A11:M11"/>
    <mergeCell ref="A16:M16"/>
    <mergeCell ref="A20:M20"/>
    <mergeCell ref="A25:M25"/>
    <mergeCell ref="A27:M27"/>
  </mergeCells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2"/>
    <hyperlink r:id="rId8" ref="M13"/>
    <hyperlink r:id="rId9" ref="M14"/>
    <hyperlink r:id="rId10" ref="M15"/>
    <hyperlink r:id="rId11" ref="M17"/>
    <hyperlink r:id="rId12" ref="M18"/>
    <hyperlink r:id="rId13" ref="M19"/>
    <hyperlink r:id="rId14" ref="M21"/>
    <hyperlink r:id="rId15" ref="M22"/>
    <hyperlink r:id="rId16" ref="M23"/>
    <hyperlink r:id="rId17" ref="M24"/>
    <hyperlink r:id="rId18" ref="M26"/>
    <hyperlink r:id="rId19" ref="M28"/>
    <hyperlink r:id="rId20" ref="M29"/>
    <hyperlink r:id="rId21" ref="M31"/>
    <hyperlink r:id="rId22" ref="M32"/>
    <hyperlink r:id="rId23" ref="M34"/>
    <hyperlink r:id="rId24" ref="M35"/>
    <hyperlink r:id="rId25" ref="M36"/>
    <hyperlink r:id="rId26" ref="M37"/>
    <hyperlink r:id="rId27" ref="M38"/>
    <hyperlink r:id="rId28" ref="M40"/>
    <hyperlink r:id="rId29" ref="M41"/>
    <hyperlink r:id="rId30" ref="M43"/>
    <hyperlink r:id="rId31" ref="M44"/>
    <hyperlink r:id="rId32" ref="M45"/>
    <hyperlink r:id="rId33" ref="M46"/>
    <hyperlink r:id="rId34" ref="M47"/>
  </hyperlinks>
  <printOptions/>
  <pageMargins bottom="1.0" footer="0.0" header="0.0" left="0.75" right="0.75" top="1.0"/>
  <pageSetup paperSize="9" orientation="portrait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36.0"/>
    <col customWidth="1" min="3" max="3" width="8.0"/>
    <col customWidth="1" min="4" max="5" width="14.0"/>
    <col customWidth="1" min="6" max="6" width="18.0"/>
    <col customWidth="1" min="7" max="7" width="44.0"/>
    <col customWidth="1" min="8" max="26" width="8.71"/>
  </cols>
  <sheetData>
    <row r="1">
      <c r="A1" s="22" t="s">
        <v>143</v>
      </c>
      <c r="B1" s="2"/>
      <c r="C1" s="2"/>
      <c r="D1" s="2"/>
      <c r="E1" s="2"/>
      <c r="F1" s="2"/>
      <c r="G1" s="3"/>
    </row>
    <row r="2">
      <c r="A2" s="23" t="s">
        <v>144</v>
      </c>
      <c r="B2" s="23" t="s">
        <v>145</v>
      </c>
      <c r="C2" s="23" t="s">
        <v>146</v>
      </c>
      <c r="D2" s="23" t="s">
        <v>147</v>
      </c>
      <c r="E2" s="23" t="s">
        <v>148</v>
      </c>
      <c r="F2" s="23" t="s">
        <v>13</v>
      </c>
      <c r="G2" s="23" t="s">
        <v>149</v>
      </c>
    </row>
    <row r="3" ht="24.0" customHeight="1">
      <c r="A3" s="24" t="s">
        <v>150</v>
      </c>
      <c r="B3" s="2"/>
      <c r="C3" s="2"/>
      <c r="D3" s="2"/>
      <c r="E3" s="2"/>
      <c r="F3" s="2"/>
      <c r="G3" s="3"/>
    </row>
    <row r="4">
      <c r="A4" s="25"/>
      <c r="B4" s="26" t="s">
        <v>151</v>
      </c>
      <c r="C4" s="27">
        <v>12.0</v>
      </c>
      <c r="D4" s="28">
        <v>80.0</v>
      </c>
      <c r="E4" s="29">
        <f t="shared" ref="E4:E14" si="1">C4*D4</f>
        <v>960</v>
      </c>
      <c r="F4" s="30" t="s">
        <v>152</v>
      </c>
      <c r="G4" s="12" t="s">
        <v>153</v>
      </c>
    </row>
    <row r="5">
      <c r="A5" s="31"/>
      <c r="B5" s="7" t="s">
        <v>154</v>
      </c>
      <c r="C5" s="32">
        <v>10.0</v>
      </c>
      <c r="D5" s="33">
        <v>53.0</v>
      </c>
      <c r="E5" s="29">
        <f t="shared" si="1"/>
        <v>530</v>
      </c>
      <c r="F5" s="10" t="s">
        <v>155</v>
      </c>
      <c r="G5" s="7" t="s">
        <v>156</v>
      </c>
    </row>
    <row r="6">
      <c r="A6" s="25"/>
      <c r="B6" s="12" t="s">
        <v>157</v>
      </c>
      <c r="C6" s="27">
        <v>6.0</v>
      </c>
      <c r="D6" s="28">
        <v>133.0</v>
      </c>
      <c r="E6" s="29">
        <f t="shared" si="1"/>
        <v>798</v>
      </c>
      <c r="F6" s="15" t="s">
        <v>158</v>
      </c>
      <c r="G6" s="12" t="s">
        <v>159</v>
      </c>
    </row>
    <row r="7">
      <c r="A7" s="31"/>
      <c r="B7" s="7" t="s">
        <v>40</v>
      </c>
      <c r="C7" s="32">
        <v>4.0</v>
      </c>
      <c r="D7" s="34">
        <v>10.0</v>
      </c>
      <c r="E7" s="29">
        <f t="shared" si="1"/>
        <v>40</v>
      </c>
      <c r="F7" s="10" t="s">
        <v>160</v>
      </c>
      <c r="G7" s="7" t="s">
        <v>161</v>
      </c>
    </row>
    <row r="8">
      <c r="A8" s="25"/>
      <c r="B8" s="12" t="s">
        <v>162</v>
      </c>
      <c r="C8" s="27">
        <v>2.0</v>
      </c>
      <c r="D8" s="29">
        <v>55.0</v>
      </c>
      <c r="E8" s="29">
        <f t="shared" si="1"/>
        <v>110</v>
      </c>
      <c r="F8" s="15" t="s">
        <v>163</v>
      </c>
      <c r="G8" s="12" t="s">
        <v>164</v>
      </c>
    </row>
    <row r="9">
      <c r="A9" s="31"/>
      <c r="B9" s="7" t="s">
        <v>165</v>
      </c>
      <c r="C9" s="32">
        <v>8.0</v>
      </c>
      <c r="D9" s="34">
        <v>12.0</v>
      </c>
      <c r="E9" s="29">
        <f t="shared" si="1"/>
        <v>96</v>
      </c>
      <c r="F9" s="10" t="s">
        <v>166</v>
      </c>
      <c r="G9" s="7" t="s">
        <v>156</v>
      </c>
    </row>
    <row r="10">
      <c r="A10" s="25"/>
      <c r="B10" s="12" t="s">
        <v>167</v>
      </c>
      <c r="C10" s="27">
        <v>8.0</v>
      </c>
      <c r="D10" s="29">
        <v>2.2</v>
      </c>
      <c r="E10" s="29">
        <f t="shared" si="1"/>
        <v>17.6</v>
      </c>
      <c r="F10" s="30" t="s">
        <v>168</v>
      </c>
      <c r="G10" s="12" t="s">
        <v>169</v>
      </c>
    </row>
    <row r="11" ht="15.75" customHeight="1">
      <c r="A11" s="25"/>
      <c r="B11" s="12" t="s">
        <v>170</v>
      </c>
      <c r="C11" s="27">
        <v>4.0</v>
      </c>
      <c r="D11" s="29">
        <v>8.0</v>
      </c>
      <c r="E11" s="29">
        <f t="shared" si="1"/>
        <v>32</v>
      </c>
      <c r="F11" s="30" t="s">
        <v>171</v>
      </c>
      <c r="G11" s="12" t="s">
        <v>172</v>
      </c>
    </row>
    <row r="12" ht="15.75" customHeight="1">
      <c r="A12" s="31"/>
      <c r="B12" s="7" t="s">
        <v>173</v>
      </c>
      <c r="C12" s="32">
        <v>8.0</v>
      </c>
      <c r="D12" s="34">
        <v>5.0</v>
      </c>
      <c r="E12" s="29">
        <f t="shared" si="1"/>
        <v>40</v>
      </c>
      <c r="F12" s="35" t="s">
        <v>174</v>
      </c>
      <c r="G12" s="7" t="s">
        <v>175</v>
      </c>
    </row>
    <row r="13">
      <c r="A13" s="25"/>
      <c r="B13" s="12" t="s">
        <v>176</v>
      </c>
      <c r="C13" s="27">
        <v>3.0</v>
      </c>
      <c r="D13" s="29">
        <v>3.0</v>
      </c>
      <c r="E13" s="29">
        <f t="shared" si="1"/>
        <v>9</v>
      </c>
      <c r="F13" s="15" t="s">
        <v>177</v>
      </c>
      <c r="G13" s="12" t="s">
        <v>178</v>
      </c>
    </row>
    <row r="14" ht="15.75" customHeight="1">
      <c r="A14" s="25"/>
      <c r="B14" s="12" t="s">
        <v>179</v>
      </c>
      <c r="C14" s="27">
        <v>1.0</v>
      </c>
      <c r="D14" s="29">
        <v>30.0</v>
      </c>
      <c r="E14" s="29">
        <f t="shared" si="1"/>
        <v>30</v>
      </c>
      <c r="F14" s="30" t="s">
        <v>180</v>
      </c>
      <c r="G14" s="12" t="s">
        <v>181</v>
      </c>
    </row>
    <row r="15">
      <c r="A15" s="36" t="s">
        <v>182</v>
      </c>
      <c r="B15" s="37"/>
      <c r="C15" s="37"/>
      <c r="D15" s="38"/>
      <c r="E15" s="39">
        <f>SUM(E4:E14)</f>
        <v>2662.6</v>
      </c>
      <c r="F15" s="40"/>
      <c r="G15" s="40"/>
    </row>
    <row r="17" ht="24.0" customHeight="1">
      <c r="A17" s="41" t="s">
        <v>183</v>
      </c>
      <c r="B17" s="2"/>
      <c r="C17" s="2"/>
      <c r="D17" s="2"/>
      <c r="E17" s="2"/>
      <c r="F17" s="2"/>
      <c r="G17" s="3"/>
    </row>
    <row r="18">
      <c r="A18" s="25"/>
      <c r="B18" s="12" t="s">
        <v>184</v>
      </c>
      <c r="C18" s="27">
        <v>4.0</v>
      </c>
      <c r="D18" s="29">
        <v>81.0</v>
      </c>
      <c r="E18" s="29">
        <f t="shared" ref="E18:E32" si="2">C18*D18</f>
        <v>324</v>
      </c>
      <c r="F18" s="15" t="s">
        <v>185</v>
      </c>
      <c r="G18" s="12" t="s">
        <v>186</v>
      </c>
    </row>
    <row r="19">
      <c r="A19" s="31"/>
      <c r="B19" s="7" t="s">
        <v>187</v>
      </c>
      <c r="C19" s="32">
        <v>4.0</v>
      </c>
      <c r="D19" s="34">
        <v>2.5</v>
      </c>
      <c r="E19" s="29">
        <f t="shared" si="2"/>
        <v>10</v>
      </c>
      <c r="F19" s="10" t="s">
        <v>188</v>
      </c>
      <c r="G19" s="7" t="s">
        <v>189</v>
      </c>
    </row>
    <row r="20">
      <c r="A20" s="31"/>
      <c r="B20" s="7" t="s">
        <v>190</v>
      </c>
      <c r="C20" s="32">
        <v>2.0</v>
      </c>
      <c r="D20" s="34">
        <v>25.0</v>
      </c>
      <c r="E20" s="29">
        <f t="shared" si="2"/>
        <v>50</v>
      </c>
      <c r="F20" s="10" t="s">
        <v>191</v>
      </c>
      <c r="G20" s="7" t="s">
        <v>192</v>
      </c>
    </row>
    <row r="21">
      <c r="A21" s="25"/>
      <c r="B21" s="12" t="s">
        <v>193</v>
      </c>
      <c r="C21" s="27">
        <v>2.0</v>
      </c>
      <c r="D21" s="29">
        <v>1.0</v>
      </c>
      <c r="E21" s="29">
        <f t="shared" si="2"/>
        <v>2</v>
      </c>
      <c r="F21" s="15" t="s">
        <v>194</v>
      </c>
      <c r="G21" s="12" t="s">
        <v>195</v>
      </c>
    </row>
    <row r="22">
      <c r="A22" s="31"/>
      <c r="B22" s="7" t="s">
        <v>196</v>
      </c>
      <c r="C22" s="32">
        <v>4.0</v>
      </c>
      <c r="D22" s="34">
        <v>1.5</v>
      </c>
      <c r="E22" s="29">
        <f t="shared" si="2"/>
        <v>6</v>
      </c>
      <c r="F22" s="10" t="s">
        <v>197</v>
      </c>
      <c r="G22" s="7" t="s">
        <v>198</v>
      </c>
    </row>
    <row r="23">
      <c r="A23" s="25"/>
      <c r="B23" s="12" t="s">
        <v>199</v>
      </c>
      <c r="C23" s="27">
        <v>2.0</v>
      </c>
      <c r="D23" s="29">
        <v>0.5</v>
      </c>
      <c r="E23" s="29">
        <f t="shared" si="2"/>
        <v>1</v>
      </c>
      <c r="F23" s="15" t="s">
        <v>200</v>
      </c>
      <c r="G23" s="12" t="s">
        <v>201</v>
      </c>
    </row>
    <row r="24" ht="15.75" customHeight="1">
      <c r="A24" s="31"/>
      <c r="B24" s="7" t="s">
        <v>202</v>
      </c>
      <c r="C24" s="32">
        <v>2.0</v>
      </c>
      <c r="D24" s="34">
        <v>1.0</v>
      </c>
      <c r="E24" s="29">
        <f t="shared" si="2"/>
        <v>2</v>
      </c>
      <c r="F24" s="10" t="s">
        <v>203</v>
      </c>
      <c r="G24" s="7" t="s">
        <v>204</v>
      </c>
    </row>
    <row r="25" ht="15.75" customHeight="1">
      <c r="A25" s="25"/>
      <c r="B25" s="12" t="s">
        <v>205</v>
      </c>
      <c r="C25" s="27">
        <v>30.0</v>
      </c>
      <c r="D25" s="29">
        <v>0.5</v>
      </c>
      <c r="E25" s="29">
        <f t="shared" si="2"/>
        <v>15</v>
      </c>
      <c r="F25" s="15" t="s">
        <v>206</v>
      </c>
      <c r="G25" s="12" t="s">
        <v>207</v>
      </c>
    </row>
    <row r="26" ht="15.75" customHeight="1">
      <c r="A26" s="31"/>
      <c r="B26" s="7" t="s">
        <v>208</v>
      </c>
      <c r="C26" s="32">
        <v>8.0</v>
      </c>
      <c r="D26" s="34">
        <v>3.0</v>
      </c>
      <c r="E26" s="29">
        <f t="shared" si="2"/>
        <v>24</v>
      </c>
      <c r="F26" s="10" t="s">
        <v>209</v>
      </c>
      <c r="G26" s="7" t="s">
        <v>210</v>
      </c>
    </row>
    <row r="27" ht="15.75" customHeight="1">
      <c r="A27" s="25"/>
      <c r="B27" s="12" t="s">
        <v>211</v>
      </c>
      <c r="C27" s="27">
        <v>46.0</v>
      </c>
      <c r="D27" s="29">
        <v>0.35</v>
      </c>
      <c r="E27" s="29">
        <f t="shared" si="2"/>
        <v>16.1</v>
      </c>
      <c r="F27" s="15" t="s">
        <v>212</v>
      </c>
      <c r="G27" s="12" t="s">
        <v>213</v>
      </c>
    </row>
    <row r="28" ht="15.75" customHeight="1">
      <c r="A28" s="31"/>
      <c r="B28" s="7" t="s">
        <v>91</v>
      </c>
      <c r="C28" s="32">
        <v>8.0</v>
      </c>
      <c r="D28" s="34">
        <v>1.5</v>
      </c>
      <c r="E28" s="29">
        <f t="shared" si="2"/>
        <v>12</v>
      </c>
      <c r="F28" s="10" t="s">
        <v>214</v>
      </c>
      <c r="G28" s="7" t="s">
        <v>215</v>
      </c>
    </row>
    <row r="29" ht="15.75" customHeight="1">
      <c r="A29" s="25"/>
      <c r="B29" s="12" t="s">
        <v>216</v>
      </c>
      <c r="C29" s="27">
        <v>2.0</v>
      </c>
      <c r="D29" s="29">
        <v>2.0</v>
      </c>
      <c r="E29" s="29">
        <f t="shared" si="2"/>
        <v>4</v>
      </c>
      <c r="F29" s="15" t="s">
        <v>217</v>
      </c>
      <c r="G29" s="12" t="s">
        <v>218</v>
      </c>
    </row>
    <row r="30" ht="15.75" customHeight="1">
      <c r="A30" s="31"/>
      <c r="B30" s="7" t="s">
        <v>219</v>
      </c>
      <c r="C30" s="32">
        <v>6.0</v>
      </c>
      <c r="D30" s="34">
        <v>5.0</v>
      </c>
      <c r="E30" s="29">
        <f t="shared" si="2"/>
        <v>30</v>
      </c>
      <c r="F30" s="10" t="s">
        <v>220</v>
      </c>
      <c r="G30" s="7" t="s">
        <v>221</v>
      </c>
    </row>
    <row r="31" ht="15.75" customHeight="1">
      <c r="A31" s="25"/>
      <c r="B31" s="12" t="s">
        <v>129</v>
      </c>
      <c r="C31" s="27">
        <v>2.0</v>
      </c>
      <c r="D31" s="29">
        <v>3.0</v>
      </c>
      <c r="E31" s="29">
        <f t="shared" si="2"/>
        <v>6</v>
      </c>
      <c r="F31" s="15" t="s">
        <v>222</v>
      </c>
      <c r="G31" s="12" t="s">
        <v>223</v>
      </c>
    </row>
    <row r="32" ht="15.75" customHeight="1">
      <c r="A32" s="31"/>
      <c r="B32" s="7" t="s">
        <v>139</v>
      </c>
      <c r="C32" s="32">
        <v>17.0</v>
      </c>
      <c r="D32" s="34">
        <v>1.5</v>
      </c>
      <c r="E32" s="29">
        <f t="shared" si="2"/>
        <v>25.5</v>
      </c>
      <c r="F32" s="10" t="s">
        <v>224</v>
      </c>
      <c r="G32" s="7" t="s">
        <v>225</v>
      </c>
    </row>
    <row r="33" ht="15.75" customHeight="1">
      <c r="A33" s="36" t="s">
        <v>226</v>
      </c>
      <c r="B33" s="37"/>
      <c r="C33" s="37"/>
      <c r="D33" s="38"/>
      <c r="E33" s="39">
        <f>SUM(E18:E32)</f>
        <v>527.6</v>
      </c>
      <c r="F33" s="40"/>
      <c r="G33" s="40"/>
    </row>
    <row r="34" ht="24.0" customHeight="1">
      <c r="D34" s="42" t="s">
        <v>227</v>
      </c>
      <c r="E34" s="42">
        <v>691.0</v>
      </c>
    </row>
    <row r="35" ht="15.75" customHeight="1"/>
    <row r="36" ht="15.75" customHeight="1">
      <c r="A36" s="43" t="s">
        <v>228</v>
      </c>
      <c r="E36" s="44" t="s">
        <v>229</v>
      </c>
    </row>
    <row r="37" ht="15.75" customHeight="1"/>
    <row r="38" ht="15.0" customHeight="1">
      <c r="A38" s="45" t="s">
        <v>230</v>
      </c>
    </row>
    <row r="39" ht="15.0" customHeight="1">
      <c r="A39" s="45" t="s">
        <v>231</v>
      </c>
    </row>
    <row r="40" ht="15.0" customHeight="1">
      <c r="A40" s="45" t="s">
        <v>232</v>
      </c>
    </row>
    <row r="41" ht="15.0" customHeight="1">
      <c r="A41" s="45" t="s">
        <v>233</v>
      </c>
    </row>
    <row r="42" ht="15.0" customHeight="1">
      <c r="A42" s="45" t="s">
        <v>234</v>
      </c>
    </row>
    <row r="43" ht="15.0" customHeight="1">
      <c r="A43" s="45" t="s">
        <v>235</v>
      </c>
    </row>
    <row r="44" ht="15.0" customHeight="1">
      <c r="A44" s="45" t="s">
        <v>236</v>
      </c>
    </row>
    <row r="45" ht="15.0" customHeight="1">
      <c r="A45" s="45" t="s">
        <v>237</v>
      </c>
    </row>
    <row r="46" ht="15.0" customHeight="1">
      <c r="A46" s="45" t="s">
        <v>238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5">
    <mergeCell ref="A39:G39"/>
    <mergeCell ref="A40:G40"/>
    <mergeCell ref="A41:G41"/>
    <mergeCell ref="A42:G42"/>
    <mergeCell ref="A43:G43"/>
    <mergeCell ref="A44:G44"/>
    <mergeCell ref="A45:G45"/>
    <mergeCell ref="A46:G46"/>
    <mergeCell ref="A1:G1"/>
    <mergeCell ref="A3:G3"/>
    <mergeCell ref="A15:D15"/>
    <mergeCell ref="A17:G17"/>
    <mergeCell ref="A33:D33"/>
    <mergeCell ref="A36:D36"/>
    <mergeCell ref="A38:G38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8"/>
    <hyperlink r:id="rId13" ref="F19"/>
    <hyperlink r:id="rId14" ref="F20"/>
    <hyperlink r:id="rId15" ref="F21"/>
    <hyperlink r:id="rId16" ref="F22"/>
    <hyperlink r:id="rId17" ref="F23"/>
    <hyperlink r:id="rId18" ref="F24"/>
    <hyperlink r:id="rId19" ref="F25"/>
    <hyperlink r:id="rId20" ref="F26"/>
    <hyperlink r:id="rId21" ref="F27"/>
    <hyperlink r:id="rId22" ref="F28"/>
    <hyperlink r:id="rId23" ref="F29"/>
    <hyperlink r:id="rId24" ref="F30"/>
    <hyperlink r:id="rId25" ref="F31"/>
    <hyperlink r:id="rId26" ref="F32"/>
  </hyperlinks>
  <printOptions/>
  <pageMargins bottom="1.0" footer="0.0" header="0.0" left="0.75" right="0.75" top="1.0"/>
  <pageSetup paperSize="9" orientation="portrait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2026-02-09T21:08:45Z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