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e BOM" sheetId="1" state="visible" r:id="rId3"/>
    <sheet name="Alışveriş Listesi (Site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<sst xmlns="http://schemas.openxmlformats.org/spreadsheetml/2006/main" count="349" uniqueCount="232">
  <si>
    <t xml:space="preserve">5-LEVEL CHB INVERTER — COMPLETE BOM v3.1 (Controller-Agnostic, Full Isolated Sensing)</t>
  </si>
  <si>
    <t xml:space="preserve">#</t>
  </si>
  <si>
    <t xml:space="preserve">Component</t>
  </si>
  <si>
    <t xml:space="preserve">Value / Spec</t>
  </si>
  <si>
    <t xml:space="preserve">Pkg</t>
  </si>
  <si>
    <t xml:space="preserve">Need</t>
  </si>
  <si>
    <t xml:space="preserve">Spare</t>
  </si>
  <si>
    <t xml:space="preserve">Total</t>
  </si>
  <si>
    <t xml:space="preserve">Role / Circuit Location</t>
  </si>
  <si>
    <t xml:space="preserve">Best Source</t>
  </si>
  <si>
    <t xml:space="preserve">Stock Status</t>
  </si>
  <si>
    <t xml:space="preserve">Unit (TL)</t>
  </si>
  <si>
    <t xml:space="preserve">Subtotal (TL)</t>
  </si>
  <si>
    <t xml:space="preserve">Notes / URL</t>
  </si>
  <si>
    <t xml:space="preserve">A. POWER SEMICONDUCTORS</t>
  </si>
  <si>
    <t xml:space="preserve">IRFZ44N MOSFET</t>
  </si>
  <si>
    <t xml:space="preserve">55V 49A 17.5mΩ</t>
  </si>
  <si>
    <t xml:space="preserve">TO-220</t>
  </si>
  <si>
    <t xml:space="preserve">H-bridge switches (Q1-Q4 ×2)</t>
  </si>
  <si>
    <t xml:space="preserve">Robotistan</t>
  </si>
  <si>
    <t xml:space="preserve">STOKTA</t>
  </si>
  <si>
    <t xml:space="preserve">robotistan.com</t>
  </si>
  <si>
    <t xml:space="preserve">TLP250 Gate Driver</t>
  </si>
  <si>
    <t xml:space="preserve">2500Vrms isol. DIP/SMD</t>
  </si>
  <si>
    <t xml:space="preserve">DIP-8/SOIC</t>
  </si>
  <si>
    <t xml:space="preserve">Isolated gate driver (1/MOSFET)</t>
  </si>
  <si>
    <t xml:space="preserve">Direnc.net</t>
  </si>
  <si>
    <t xml:space="preserve">STOKTA (SMD 99999)</t>
  </si>
  <si>
    <t xml:space="preserve">direnc.net — SMD SOIC stokta; DIP stok YOK</t>
  </si>
  <si>
    <t xml:space="preserve">B0515S-1W DC-DC</t>
  </si>
  <si>
    <t xml:space="preserve">5V→15V 1W isolated</t>
  </si>
  <si>
    <t xml:space="preserve">SIP-4</t>
  </si>
  <si>
    <t xml:space="preserve">Isolated 15V gate supply (2 paralel/bridge)</t>
  </si>
  <si>
    <t xml:space="preserve">Mouser TR</t>
  </si>
  <si>
    <t xml:space="preserve">SİPARİŞ (5-8 gün)</t>
  </si>
  <si>
    <t xml:space="preserve">mouser.com — TR'de yok, Fidersan ile sipariş</t>
  </si>
  <si>
    <t xml:space="preserve">1N5408 Diode</t>
  </si>
  <si>
    <t xml:space="preserve">3A 1000V rectifier</t>
  </si>
  <si>
    <t xml:space="preserve">DO-201</t>
  </si>
  <si>
    <t xml:space="preserve">Reverse polarity koruma</t>
  </si>
  <si>
    <t xml:space="preserve">STOKTA (28707)</t>
  </si>
  <si>
    <t xml:space="preserve">direnc.net</t>
  </si>
  <si>
    <t xml:space="preserve">UF4007 Fast Diode</t>
  </si>
  <si>
    <t xml:space="preserve">1A 1000V 75ns</t>
  </si>
  <si>
    <t xml:space="preserve">DO-41</t>
  </si>
  <si>
    <t xml:space="preserve">Bootstrap diyot (4 HS kanal)</t>
  </si>
  <si>
    <t xml:space="preserve">STOKTA (99999)</t>
  </si>
  <si>
    <t xml:space="preserve">1.5KE62A TVS</t>
  </si>
  <si>
    <t xml:space="preserve">53V standoff 84.5V clamp</t>
  </si>
  <si>
    <t xml:space="preserve">Transient koruma (1/bridge)</t>
  </si>
  <si>
    <t xml:space="preserve">mouser.com — TR hobby sitelerinde yok</t>
  </si>
  <si>
    <t xml:space="preserve">B. SENSING ICs</t>
  </si>
  <si>
    <t xml:space="preserve">ACS712-20A Module</t>
  </si>
  <si>
    <t xml:space="preserve">Hall-effect 100mV/A</t>
  </si>
  <si>
    <t xml:space="preserve">Module</t>
  </si>
  <si>
    <t xml:space="preserve">AC çıkış akım sensörü</t>
  </si>
  <si>
    <t xml:space="preserve">STOKTA (30A ver.)</t>
  </si>
  <si>
    <t xml:space="preserve">robotistan — 20A stok yok, 30A mevcut</t>
  </si>
  <si>
    <t xml:space="preserve">MCP3201 ADC</t>
  </si>
  <si>
    <t xml:space="preserve">12-bit SPI single ch</t>
  </si>
  <si>
    <t xml:space="preserve">DIP-8</t>
  </si>
  <si>
    <t xml:space="preserve">İzoleli DC bus ADC ×2 + akım ADC ×1</t>
  </si>
  <si>
    <t xml:space="preserve">STOKTA (27 adet)</t>
  </si>
  <si>
    <t xml:space="preserve">direnc.net — 27 stokta, 4 adet yeter</t>
  </si>
  <si>
    <t xml:space="preserve">6N137 Optocoupler</t>
  </si>
  <si>
    <t xml:space="preserve">10Mbit/s high-speed</t>
  </si>
  <si>
    <t xml:space="preserve">SPI izolasyon: 3/bridge (SCK,CS,MISO)</t>
  </si>
  <si>
    <t xml:space="preserve">Özdisan</t>
  </si>
  <si>
    <t xml:space="preserve">STOKTA (DIP)</t>
  </si>
  <si>
    <t xml:space="preserve">ozdisan.com — DIP stokta; direnc.net sadece SMD</t>
  </si>
  <si>
    <t xml:space="preserve">78L05 Regulator</t>
  </si>
  <si>
    <t xml:space="preserve">5V 100mA linear</t>
  </si>
  <si>
    <t xml:space="preserve">TO-92</t>
  </si>
  <si>
    <t xml:space="preserve">Island lojik beslemesi (15V→5V)</t>
  </si>
  <si>
    <t xml:space="preserve">C. DC BUS KAPASITÖRLER &amp; KORUMA</t>
  </si>
  <si>
    <t xml:space="preserve">Electrolytic Cap</t>
  </si>
  <si>
    <t xml:space="preserve">1000µF / 100V</t>
  </si>
  <si>
    <t xml:space="preserve">Radial</t>
  </si>
  <si>
    <t xml:space="preserve">DC link bulk depolama</t>
  </si>
  <si>
    <t xml:space="preserve">Ceramic Cap</t>
  </si>
  <si>
    <t xml:space="preserve">100nF / 50V+</t>
  </si>
  <si>
    <t xml:space="preserve">THT</t>
  </si>
  <si>
    <t xml:space="preserve">DC bus HF bypass</t>
  </si>
  <si>
    <t xml:space="preserve">Bleeder Resistor</t>
  </si>
  <si>
    <t xml:space="preserve">100kΩ / 2W</t>
  </si>
  <si>
    <t xml:space="preserve">Axial</t>
  </si>
  <si>
    <t xml:space="preserve">Güvenlik deşarj</t>
  </si>
  <si>
    <t xml:space="preserve">Blade Fuse+Holder</t>
  </si>
  <si>
    <t xml:space="preserve">15A</t>
  </si>
  <si>
    <t xml:space="preserve">Standard</t>
  </si>
  <si>
    <t xml:space="preserve">Kısa devre koruma</t>
  </si>
  <si>
    <t xml:space="preserve">D. GATE DRIVE PASİFLER (×8 kanal)</t>
  </si>
  <si>
    <t xml:space="preserve">Resistor 220Ω</t>
  </si>
  <si>
    <t xml:space="preserve">1/4W 5%</t>
  </si>
  <si>
    <t xml:space="preserve">TLP250 LED limit (8) + 6N137 LED (6)</t>
  </si>
  <si>
    <t xml:space="preserve">Resistor 22Ω</t>
  </si>
  <si>
    <t xml:space="preserve">Gate seri direnç</t>
  </si>
  <si>
    <t xml:space="preserve">Resistor 10kΩ</t>
  </si>
  <si>
    <t xml:space="preserve">Gate-source pull-down</t>
  </si>
  <si>
    <t xml:space="preserve">Ceramic Cap 100nF</t>
  </si>
  <si>
    <t xml:space="preserve">100nF / 25V</t>
  </si>
  <si>
    <t xml:space="preserve">TLP250(8)+6N137(6)+MCP3201(3)+B0515(6)+div(2)+diğer(5)</t>
  </si>
  <si>
    <t xml:space="preserve">direnc.net — TOPLU SİPARİŞ</t>
  </si>
  <si>
    <t xml:space="preserve">E. BOOTSTRAP (×4 HS kanal)</t>
  </si>
  <si>
    <t xml:space="preserve">Cap 10µF</t>
  </si>
  <si>
    <t xml:space="preserve">10µF / 25V</t>
  </si>
  <si>
    <t xml:space="preserve">Bootstrap enerji depolama</t>
  </si>
  <si>
    <t xml:space="preserve">F. SNUBBER (×8 MOSFET)</t>
  </si>
  <si>
    <t xml:space="preserve">Resistor 22Ω 2W</t>
  </si>
  <si>
    <t xml:space="preserve">2W wire-wound</t>
  </si>
  <si>
    <t xml:space="preserve">Snubber sönümleme (D-S arası)</t>
  </si>
  <si>
    <t xml:space="preserve">Film Cap 2.2nF</t>
  </si>
  <si>
    <t xml:space="preserve">2.2nF / 630V</t>
  </si>
  <si>
    <t xml:space="preserve">Box</t>
  </si>
  <si>
    <t xml:space="preserve">Snubber cap (22Ω ile seri)</t>
  </si>
  <si>
    <t xml:space="preserve">direnc.net — film kondansatör 630V</t>
  </si>
  <si>
    <t xml:space="preserve">G. İZOLE BESLEME PASİFLER (×2 bridge)</t>
  </si>
  <si>
    <t xml:space="preserve">Resistor 1Ω</t>
  </si>
  <si>
    <t xml:space="preserve">1/4W</t>
  </si>
  <si>
    <t xml:space="preserve">B0515S akım dengeleme</t>
  </si>
  <si>
    <t xml:space="preserve">Electrolytic 100µF</t>
  </si>
  <si>
    <t xml:space="preserve">100µF / 25V</t>
  </si>
  <si>
    <t xml:space="preserve">B0515S çıkış filtre</t>
  </si>
  <si>
    <t xml:space="preserve">H. DC BUS SENSING PASİFLER (×2 island)</t>
  </si>
  <si>
    <t xml:space="preserve">Resistor 100kΩ 1%</t>
  </si>
  <si>
    <t xml:space="preserve">1/4W metal film</t>
  </si>
  <si>
    <t xml:space="preserve">Voltaj bölücü üst</t>
  </si>
  <si>
    <t xml:space="preserve">Resistor 5.1kΩ 1%</t>
  </si>
  <si>
    <t xml:space="preserve">Voltaj bölücü alt</t>
  </si>
  <si>
    <t xml:space="preserve">Resistor 4.7kΩ</t>
  </si>
  <si>
    <t xml:space="preserve">6N137 çıkış pull-up</t>
  </si>
  <si>
    <t xml:space="preserve">Cap 1µF ceramic</t>
  </si>
  <si>
    <t xml:space="preserve">1µF / 25V</t>
  </si>
  <si>
    <t xml:space="preserve">78L05 giriş filtre</t>
  </si>
  <si>
    <t xml:space="preserve">Electrolytic 10µF</t>
  </si>
  <si>
    <t xml:space="preserve">10µF / 16V</t>
  </si>
  <si>
    <t xml:space="preserve">78L05 çıkış filtre</t>
  </si>
  <si>
    <t xml:space="preserve">I. AKIM SENSOR PASİFLER (safe side)</t>
  </si>
  <si>
    <t xml:space="preserve">Resistor 1kΩ</t>
  </si>
  <si>
    <t xml:space="preserve">ACS712 bölücü üst</t>
  </si>
  <si>
    <t xml:space="preserve">Resistor 1.5kΩ</t>
  </si>
  <si>
    <t xml:space="preserve">ACS712 bölücü alt</t>
  </si>
  <si>
    <t xml:space="preserve">J. KONNEKTÖR &amp; MEKANİK</t>
  </si>
  <si>
    <t xml:space="preserve">Screw Terminal 2-pos</t>
  </si>
  <si>
    <t xml:space="preserve">15A+ 5.08mm</t>
  </si>
  <si>
    <t xml:space="preserve">PCB</t>
  </si>
  <si>
    <t xml:space="preserve">4×DC giriş + 2×AC çıkış</t>
  </si>
  <si>
    <t xml:space="preserve">Pin Header 2×10</t>
  </si>
  <si>
    <t xml:space="preserve">2.54mm male</t>
  </si>
  <si>
    <t xml:space="preserve">Controller interface</t>
  </si>
  <si>
    <t xml:space="preserve">Heatsink TO-220</t>
  </si>
  <si>
    <t xml:space="preserve">Clip-on</t>
  </si>
  <si>
    <t xml:space="preserve">MOSFET soğutucu</t>
  </si>
  <si>
    <t xml:space="preserve">18 AWG Wire</t>
  </si>
  <si>
    <t xml:space="preserve">Silikon kırmızı+siyah</t>
  </si>
  <si>
    <t xml:space="preserve">2m each</t>
  </si>
  <si>
    <t xml:space="preserve">Güç kablolama</t>
  </si>
  <si>
    <t xml:space="preserve">DIP-8 IC Socket</t>
  </si>
  <si>
    <t xml:space="preserve">8-pin turned pin</t>
  </si>
  <si>
    <t xml:space="preserve">TLP250(8)+6N137(6) soketi</t>
  </si>
  <si>
    <t xml:space="preserve">TOPLAM / GRAND TOTAL</t>
  </si>
  <si>
    <t xml:space="preserve">SİPARİŞ LİSTESİ — SİTEYE GÖRE GRUPLANMIŞ (minimum kargo maliyeti için)</t>
  </si>
  <si>
    <t xml:space="preserve">Site</t>
  </si>
  <si>
    <t xml:space="preserve">Komponent</t>
  </si>
  <si>
    <t xml:space="preserve">Adet</t>
  </si>
  <si>
    <t xml:space="preserve">Birim (TL)</t>
  </si>
  <si>
    <t xml:space="preserve">Ara Toplam (TL)</t>
  </si>
  <si>
    <t xml:space="preserve">Not / Stok Durumu</t>
  </si>
  <si>
    <t xml:space="preserve">📦 DİRENÇ.NET — direnc.net</t>
  </si>
  <si>
    <t xml:space="preserve">MCP3201 DIP-8 ADC</t>
  </si>
  <si>
    <t xml:space="preserve">27 stokta. Kritik bileşen, erken sipariş ver</t>
  </si>
  <si>
    <t xml:space="preserve">TLP250 SOIC-8 Gate Driver</t>
  </si>
  <si>
    <t xml:space="preserve">SMD 99999 stokta. DIP yok — SMD-DIP adaptör soketi ile kullan</t>
  </si>
  <si>
    <t xml:space="preserve">6N137 SOIC-8 Optocoupler</t>
  </si>
  <si>
    <t xml:space="preserve">SMD 99999 stokta. DIP stok yok — Özdisan DIP alternatif</t>
  </si>
  <si>
    <t xml:space="preserve">78L05 TO-92 Regulator</t>
  </si>
  <si>
    <t xml:space="preserve">Stokta</t>
  </si>
  <si>
    <t xml:space="preserve">1N5408 3A 1000V Diode</t>
  </si>
  <si>
    <t xml:space="preserve">28707 stokta</t>
  </si>
  <si>
    <t xml:space="preserve">UF4007 1A 1000V Fast Diode</t>
  </si>
  <si>
    <t xml:space="preserve">99999 stokta</t>
  </si>
  <si>
    <t xml:space="preserve">1000µF 100V Electrolytic</t>
  </si>
  <si>
    <t xml:space="preserve">100µF 25V Electrolytic</t>
  </si>
  <si>
    <t xml:space="preserve">10µF 25V Cap (bootstrap)</t>
  </si>
  <si>
    <t xml:space="preserve">Bootstrap</t>
  </si>
  <si>
    <t xml:space="preserve">10µF 16V Electrolytic</t>
  </si>
  <si>
    <t xml:space="preserve">78L05 filtre</t>
  </si>
  <si>
    <t xml:space="preserve">1µF 25V Ceramic</t>
  </si>
  <si>
    <t xml:space="preserve">78L05 giriş</t>
  </si>
  <si>
    <t xml:space="preserve">100nF Ceramic — TOPLU</t>
  </si>
  <si>
    <t xml:space="preserve">TLP250+6N137+MCP3201+B0515S+divider+bypass — hepsini tek sipariş</t>
  </si>
  <si>
    <t xml:space="preserve">2.2nF 630V Film Cap</t>
  </si>
  <si>
    <t xml:space="preserve">Snubber — yüksek voltaj film</t>
  </si>
  <si>
    <t xml:space="preserve">Dirençler: 220Ω(14), 22Ω 1/4W(8), 10kΩ(8), 4.7kΩ(6), 1Ω(4), 100kΩ 1%(2), 5.1kΩ 1%(2), 1kΩ(1), 1.5kΩ(1)</t>
  </si>
  <si>
    <t xml:space="preserve">Toplam ~46 direnç, karışık değerler. 2W olanlar ayrı!</t>
  </si>
  <si>
    <t xml:space="preserve">Snubber sönümleme — 2W dikkat!</t>
  </si>
  <si>
    <t xml:space="preserve">Resistor 100kΩ 2W</t>
  </si>
  <si>
    <t xml:space="preserve">Bleeder — 2W</t>
  </si>
  <si>
    <t xml:space="preserve">Screw Terminal 2-pos 15A+</t>
  </si>
  <si>
    <t xml:space="preserve">Klemens</t>
  </si>
  <si>
    <t xml:space="preserve">TLP250 (8) + 6N137 (6) soketi</t>
  </si>
  <si>
    <t xml:space="preserve">DİRENÇ.NET ARA TOPLAM:</t>
  </si>
  <si>
    <t xml:space="preserve">📦 ROBOTİSTAN — robotistan.com</t>
  </si>
  <si>
    <t xml:space="preserve">IRFZ44N MOSFET TO-220</t>
  </si>
  <si>
    <t xml:space="preserve">Stokta. En güvenilir IRFZ44N kaynağı</t>
  </si>
  <si>
    <t xml:space="preserve">ACS712 30A Current Sensor</t>
  </si>
  <si>
    <t xml:space="preserve">20A stok yok, 30A mevcut. firmware'de 66mV/A kullan</t>
  </si>
  <si>
    <t xml:space="preserve">Heatsink TO-220 Clip-on</t>
  </si>
  <si>
    <t xml:space="preserve">15A Blade Fuse + Holder</t>
  </si>
  <si>
    <t xml:space="preserve">Otomotiv tipi sigorta</t>
  </si>
  <si>
    <t xml:space="preserve">18AWG Silikon Kablo (R+B)</t>
  </si>
  <si>
    <t xml:space="preserve">2m kırmızı + 2m siyah</t>
  </si>
  <si>
    <t xml:space="preserve">ROBOTİSTAN ARA TOPLAM:</t>
  </si>
  <si>
    <t xml:space="preserve">📦 MOUSER TR (Fidersan) — fidersan.com</t>
  </si>
  <si>
    <t xml:space="preserve">B0515S-1W Isolated DC-DC</t>
  </si>
  <si>
    <t xml:space="preserve">Türkiye'de yok! Fidersan: info@fidersan.com, 5-8 iş günü</t>
  </si>
  <si>
    <t xml:space="preserve">1.5KE62A TVS Diode</t>
  </si>
  <si>
    <t xml:space="preserve">Türkiye'de yok! Aynı Mouser siparişine ekle</t>
  </si>
  <si>
    <t xml:space="preserve">MOUSER TR (Fidersan) ARA TOPLAM:</t>
  </si>
  <si>
    <t xml:space="preserve">📦 ÖZDİSAN — ozdisan.com (ALTERNATİF)</t>
  </si>
  <si>
    <t xml:space="preserve">TLP250(F) DIP-8</t>
  </si>
  <si>
    <t xml:space="preserve">Direnc.net'te DIP stok yoksa Özdisan'dan al</t>
  </si>
  <si>
    <t xml:space="preserve">6N137 DIP-8</t>
  </si>
  <si>
    <t xml:space="preserve">ÖZDİSAN ARA TOPLAM:</t>
  </si>
  <si>
    <t xml:space="preserve">NOTLAR:</t>
  </si>
  <si>
    <t xml:space="preserve">• Direnc.net: 1500 TL üzeri kargo bedava. Çoğu bileşen burada — tek siparişle 1500 TL'yi geçersiniz.</t>
  </si>
  <si>
    <t xml:space="preserve">• Robotistan: IRFZ44N ve ACS712 için en güvenilir. Kargo ~30-40 TL.</t>
  </si>
  <si>
    <t xml:space="preserve">• Mouser (Fidersan): B0515S ve 1.5KE62A SADECE buradan. info@fidersan.com — sipariş listesi mail ile. Kargo+gümrük ~100-200 TL ek.</t>
  </si>
  <si>
    <t xml:space="preserve">• Özdisan: TLP250 ve 6N137 DIP versiyonları için yedek kaynak. Mağaza ziyareti mümkün (İstanbul Perpa).</t>
  </si>
  <si>
    <t xml:space="preserve">• TLP250/6N137 DIP vs SMD: Direnc.net'te sadece SMD stokta. SMD-DIP adaptör PCB veya Özdisan'dan DIP versiyonu ile çözülebilir.</t>
  </si>
  <si>
    <t xml:space="preserve">• ACS712 20A vs 30A: 20A modül stok yok. 30A modül kullan, firmware'de hassasiyet = 66mV/A (100mV/A yerine).</t>
  </si>
  <si>
    <t xml:space="preserve">• Tahmini toplam: ~1200-1400 TL (kargo + gümrük dahil). Fiyatlar Şubat 2026 tahminidir.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</si>
</sst>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TL&quot;"/>
    <numFmt numFmtId="166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3C5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6600"/>
      <name val="Arial"/>
      <family val="0"/>
      <charset val="1"/>
    </font>
    <font>
      <b val="true"/>
      <sz val="9"/>
      <color rgb="FFCC6600"/>
      <name val="Arial"/>
      <family val="0"/>
      <charset val="1"/>
    </font>
    <font>
      <b val="true"/>
      <sz val="11"/>
      <color rgb="FF1A3C5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b val="true"/>
      <sz val="12"/>
      <color rgb="FF1A3C5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i val="true"/>
      <sz val="9"/>
      <color rgb="FF44444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8EFF7"/>
        <bgColor rgb="FFE0E8F0"/>
      </patternFill>
    </fill>
    <fill>
      <patternFill patternType="solid">
        <fgColor rgb="FF1A3C5E"/>
        <bgColor rgb="FF333399"/>
      </patternFill>
    </fill>
    <fill>
      <patternFill patternType="solid">
        <fgColor rgb="FFDCE6F0"/>
        <bgColor rgb="FFE0E8F0"/>
      </patternFill>
    </fill>
    <fill>
      <patternFill patternType="solid">
        <fgColor rgb="FFF5F8FA"/>
        <bgColor rgb="FFFFFFFF"/>
      </patternFill>
    </fill>
    <fill>
      <patternFill patternType="solid">
        <fgColor rgb="FFE0E8F0"/>
        <bgColor rgb="FFDCE6F0"/>
      </patternFill>
    </fill>
    <fill>
      <patternFill patternType="solid">
        <fgColor rgb="FF2E7D32"/>
        <bgColor rgb="FF006600"/>
      </patternFill>
    </fill>
    <fill>
      <patternFill patternType="solid">
        <fgColor rgb="FF1565C0"/>
        <bgColor rgb="FF3366FF"/>
      </patternFill>
    </fill>
    <fill>
      <patternFill patternType="solid">
        <fgColor rgb="FFEF6C00"/>
        <bgColor rgb="FFCC6600"/>
      </patternFill>
    </fill>
    <fill>
      <patternFill patternType="solid">
        <fgColor rgb="FF7B1FA2"/>
        <bgColor rgb="FF800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/>
      <right style="thin"/>
      <top style="medium">
        <color rgb="FF1A3C5E"/>
      </top>
      <bottom style="medium">
        <color rgb="FF1A3C5E"/>
      </bottom>
      <diagonal/>
    </border>
    <border diagonalUp="false" diagonalDown="false">
      <left/>
      <right/>
      <top style="medium">
        <color rgb="FF1A3C5E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CC6600"/>
      <rgbColor rgb="FF7B1FA2"/>
      <rgbColor rgb="FF008080"/>
      <rgbColor rgb="FFC0C0C0"/>
      <rgbColor rgb="FF808080"/>
      <rgbColor rgb="FF9999FF"/>
      <rgbColor rgb="FF993366"/>
      <rgbColor rgb="FFF5F8FA"/>
      <rgbColor rgb="FFE8EFF7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8F0"/>
      <rgbColor rgb="FFDCE6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6C00"/>
      <rgbColor rgb="FF666699"/>
      <rgbColor rgb="FF969696"/>
      <rgbColor rgb="FF1A3C5E"/>
      <rgbColor rgb="FF2E7D32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7" min="5" style="0" width="7"/>
    <col collapsed="false" customWidth="true" hidden="false" outlineLevel="0" max="8" min="8" style="0" width="34"/>
    <col collapsed="false" customWidth="true" hidden="false" outlineLevel="0" max="9" min="9" style="0" width="18"/>
    <col collapsed="false" customWidth="true" hidden="false" outlineLevel="0" max="12" min="10" style="0" width="14"/>
    <col collapsed="false" customWidth="true" hidden="false" outlineLevel="0" max="13" min="13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27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customFormat="false" ht="21.75" hidden="false" customHeight="true" outlineLevel="0" collapsed="false">
      <c r="A4" s="3" t="s">
        <v>14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4" t="n">
        <v>1</v>
      </c>
      <c r="B5" s="5" t="s">
        <v>15</v>
      </c>
      <c r="C5" s="5" t="s">
        <v>16</v>
      </c>
      <c r="D5" s="5" t="s">
        <v>17</v>
      </c>
      <c r="E5" s="4" t="n">
        <v>8</v>
      </c>
      <c r="F5" s="4" t="n">
        <v>4</v>
      </c>
      <c r="G5" s="4" t="n">
        <v>12</v>
      </c>
      <c r="H5" s="5" t="s">
        <v>18</v>
      </c>
      <c r="I5" s="5" t="s">
        <v>19</v>
      </c>
      <c r="J5" s="6" t="s">
        <v>20</v>
      </c>
      <c r="K5" s="7" t="n">
        <v>28</v>
      </c>
      <c r="L5" s="7" t="n">
        <v>336</v>
      </c>
      <c r="M5" s="5" t="s">
        <v>21</v>
      </c>
    </row>
    <row r="6" customFormat="false" ht="22.35" hidden="false" customHeight="false" outlineLevel="0" collapsed="false">
      <c r="A6" s="8" t="n">
        <v>2</v>
      </c>
      <c r="B6" s="9" t="s">
        <v>22</v>
      </c>
      <c r="C6" s="9" t="s">
        <v>23</v>
      </c>
      <c r="D6" s="9" t="s">
        <v>24</v>
      </c>
      <c r="E6" s="8" t="n">
        <v>8</v>
      </c>
      <c r="F6" s="8" t="n">
        <v>2</v>
      </c>
      <c r="G6" s="8" t="n">
        <v>10</v>
      </c>
      <c r="H6" s="9" t="s">
        <v>25</v>
      </c>
      <c r="I6" s="9" t="s">
        <v>26</v>
      </c>
      <c r="J6" s="10" t="s">
        <v>27</v>
      </c>
      <c r="K6" s="11" t="n">
        <v>47</v>
      </c>
      <c r="L6" s="11" t="n">
        <v>470</v>
      </c>
      <c r="M6" s="9" t="s">
        <v>28</v>
      </c>
    </row>
    <row r="7" customFormat="false" ht="22.35" hidden="false" customHeight="false" outlineLevel="0" collapsed="false">
      <c r="A7" s="4" t="n">
        <v>3</v>
      </c>
      <c r="B7" s="5" t="s">
        <v>29</v>
      </c>
      <c r="C7" s="5" t="s">
        <v>30</v>
      </c>
      <c r="D7" s="5" t="s">
        <v>31</v>
      </c>
      <c r="E7" s="4" t="n">
        <v>4</v>
      </c>
      <c r="F7" s="4" t="n">
        <v>2</v>
      </c>
      <c r="G7" s="4" t="n">
        <v>6</v>
      </c>
      <c r="H7" s="5" t="s">
        <v>32</v>
      </c>
      <c r="I7" s="5" t="s">
        <v>33</v>
      </c>
      <c r="J7" s="12" t="s">
        <v>34</v>
      </c>
      <c r="K7" s="7" t="n">
        <v>55</v>
      </c>
      <c r="L7" s="7" t="n">
        <v>330</v>
      </c>
      <c r="M7" s="5" t="s">
        <v>35</v>
      </c>
    </row>
    <row r="8" customFormat="false" ht="15" hidden="false" customHeight="false" outlineLevel="0" collapsed="false">
      <c r="A8" s="8" t="n">
        <v>4</v>
      </c>
      <c r="B8" s="9" t="s">
        <v>36</v>
      </c>
      <c r="C8" s="9" t="s">
        <v>37</v>
      </c>
      <c r="D8" s="9" t="s">
        <v>38</v>
      </c>
      <c r="E8" s="8" t="n">
        <v>2</v>
      </c>
      <c r="F8" s="8" t="n">
        <v>2</v>
      </c>
      <c r="G8" s="8" t="n">
        <v>4</v>
      </c>
      <c r="H8" s="9" t="s">
        <v>39</v>
      </c>
      <c r="I8" s="9" t="s">
        <v>26</v>
      </c>
      <c r="J8" s="10" t="s">
        <v>40</v>
      </c>
      <c r="K8" s="11" t="n">
        <v>2.5</v>
      </c>
      <c r="L8" s="11" t="n">
        <v>10</v>
      </c>
      <c r="M8" s="9" t="s">
        <v>41</v>
      </c>
    </row>
    <row r="9" customFormat="false" ht="15" hidden="false" customHeight="false" outlineLevel="0" collapsed="false">
      <c r="A9" s="4" t="n">
        <v>5</v>
      </c>
      <c r="B9" s="5" t="s">
        <v>42</v>
      </c>
      <c r="C9" s="5" t="s">
        <v>43</v>
      </c>
      <c r="D9" s="5" t="s">
        <v>44</v>
      </c>
      <c r="E9" s="4" t="n">
        <v>4</v>
      </c>
      <c r="F9" s="4" t="n">
        <v>4</v>
      </c>
      <c r="G9" s="4" t="n">
        <v>8</v>
      </c>
      <c r="H9" s="5" t="s">
        <v>45</v>
      </c>
      <c r="I9" s="5" t="s">
        <v>26</v>
      </c>
      <c r="J9" s="6" t="s">
        <v>46</v>
      </c>
      <c r="K9" s="7" t="n">
        <v>2.2</v>
      </c>
      <c r="L9" s="7" t="n">
        <v>17.6</v>
      </c>
      <c r="M9" s="5" t="s">
        <v>41</v>
      </c>
    </row>
    <row r="10" customFormat="false" ht="22.35" hidden="false" customHeight="false" outlineLevel="0" collapsed="false">
      <c r="A10" s="8" t="n">
        <v>6</v>
      </c>
      <c r="B10" s="9" t="s">
        <v>47</v>
      </c>
      <c r="C10" s="9" t="s">
        <v>48</v>
      </c>
      <c r="D10" s="9" t="s">
        <v>38</v>
      </c>
      <c r="E10" s="8" t="n">
        <v>2</v>
      </c>
      <c r="F10" s="8" t="n">
        <v>2</v>
      </c>
      <c r="G10" s="8" t="n">
        <v>4</v>
      </c>
      <c r="H10" s="9" t="s">
        <v>49</v>
      </c>
      <c r="I10" s="9" t="s">
        <v>33</v>
      </c>
      <c r="J10" s="13" t="s">
        <v>34</v>
      </c>
      <c r="K10" s="11" t="n">
        <v>18</v>
      </c>
      <c r="L10" s="11" t="n">
        <v>72</v>
      </c>
      <c r="M10" s="9" t="s">
        <v>50</v>
      </c>
    </row>
    <row r="11" customFormat="false" ht="21.75" hidden="false" customHeight="true" outlineLevel="0" collapsed="false">
      <c r="A11" s="3" t="s">
        <v>51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22.35" hidden="false" customHeight="false" outlineLevel="0" collapsed="false">
      <c r="A12" s="8" t="n">
        <v>7</v>
      </c>
      <c r="B12" s="9" t="s">
        <v>52</v>
      </c>
      <c r="C12" s="9" t="s">
        <v>53</v>
      </c>
      <c r="D12" s="9" t="s">
        <v>54</v>
      </c>
      <c r="E12" s="8" t="n">
        <v>1</v>
      </c>
      <c r="F12" s="8" t="n">
        <v>1</v>
      </c>
      <c r="G12" s="8" t="n">
        <v>2</v>
      </c>
      <c r="H12" s="9" t="s">
        <v>55</v>
      </c>
      <c r="I12" s="9" t="s">
        <v>19</v>
      </c>
      <c r="J12" s="10" t="s">
        <v>56</v>
      </c>
      <c r="K12" s="11" t="n">
        <v>55</v>
      </c>
      <c r="L12" s="11" t="n">
        <v>110</v>
      </c>
      <c r="M12" s="9" t="s">
        <v>57</v>
      </c>
    </row>
    <row r="13" customFormat="false" ht="22.35" hidden="false" customHeight="false" outlineLevel="0" collapsed="false">
      <c r="A13" s="4" t="n">
        <v>8</v>
      </c>
      <c r="B13" s="5" t="s">
        <v>58</v>
      </c>
      <c r="C13" s="5" t="s">
        <v>59</v>
      </c>
      <c r="D13" s="5" t="s">
        <v>60</v>
      </c>
      <c r="E13" s="4" t="n">
        <v>3</v>
      </c>
      <c r="F13" s="4" t="n">
        <v>1</v>
      </c>
      <c r="G13" s="4" t="n">
        <v>4</v>
      </c>
      <c r="H13" s="5" t="s">
        <v>61</v>
      </c>
      <c r="I13" s="5" t="s">
        <v>26</v>
      </c>
      <c r="J13" s="6" t="s">
        <v>62</v>
      </c>
      <c r="K13" s="7" t="n">
        <v>81</v>
      </c>
      <c r="L13" s="7" t="n">
        <v>324</v>
      </c>
      <c r="M13" s="5" t="s">
        <v>63</v>
      </c>
    </row>
    <row r="14" customFormat="false" ht="15" hidden="false" customHeight="false" outlineLevel="0" collapsed="false">
      <c r="A14" s="8" t="n">
        <v>9</v>
      </c>
      <c r="B14" s="9" t="s">
        <v>64</v>
      </c>
      <c r="C14" s="9" t="s">
        <v>65</v>
      </c>
      <c r="D14" s="9" t="s">
        <v>60</v>
      </c>
      <c r="E14" s="8" t="n">
        <v>6</v>
      </c>
      <c r="F14" s="8" t="n">
        <v>2</v>
      </c>
      <c r="G14" s="8" t="n">
        <v>8</v>
      </c>
      <c r="H14" s="9" t="s">
        <v>66</v>
      </c>
      <c r="I14" s="9" t="s">
        <v>67</v>
      </c>
      <c r="J14" s="10" t="s">
        <v>68</v>
      </c>
      <c r="K14" s="11" t="n">
        <v>15</v>
      </c>
      <c r="L14" s="11" t="n">
        <v>120</v>
      </c>
      <c r="M14" s="9" t="s">
        <v>69</v>
      </c>
    </row>
    <row r="15" customFormat="false" ht="15" hidden="false" customHeight="false" outlineLevel="0" collapsed="false">
      <c r="A15" s="4" t="n">
        <v>10</v>
      </c>
      <c r="B15" s="5" t="s">
        <v>70</v>
      </c>
      <c r="C15" s="5" t="s">
        <v>71</v>
      </c>
      <c r="D15" s="5" t="s">
        <v>72</v>
      </c>
      <c r="E15" s="4" t="n">
        <v>2</v>
      </c>
      <c r="F15" s="4" t="n">
        <v>1</v>
      </c>
      <c r="G15" s="4" t="n">
        <v>3</v>
      </c>
      <c r="H15" s="5" t="s">
        <v>73</v>
      </c>
      <c r="I15" s="5" t="s">
        <v>26</v>
      </c>
      <c r="J15" s="6" t="s">
        <v>20</v>
      </c>
      <c r="K15" s="7" t="n">
        <v>3</v>
      </c>
      <c r="L15" s="7" t="n">
        <v>9</v>
      </c>
      <c r="M15" s="5" t="s">
        <v>41</v>
      </c>
    </row>
    <row r="16" customFormat="false" ht="21.75" hidden="false" customHeight="true" outlineLevel="0" collapsed="false">
      <c r="A16" s="3" t="s">
        <v>74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15" hidden="false" customHeight="false" outlineLevel="0" collapsed="false">
      <c r="A17" s="4" t="n">
        <v>11</v>
      </c>
      <c r="B17" s="5" t="s">
        <v>75</v>
      </c>
      <c r="C17" s="5" t="s">
        <v>76</v>
      </c>
      <c r="D17" s="5" t="s">
        <v>77</v>
      </c>
      <c r="E17" s="4" t="n">
        <v>2</v>
      </c>
      <c r="F17" s="4" t="n">
        <v>0</v>
      </c>
      <c r="G17" s="4" t="n">
        <v>2</v>
      </c>
      <c r="H17" s="5" t="s">
        <v>78</v>
      </c>
      <c r="I17" s="5" t="s">
        <v>26</v>
      </c>
      <c r="J17" s="6" t="s">
        <v>20</v>
      </c>
      <c r="K17" s="7" t="n">
        <v>25</v>
      </c>
      <c r="L17" s="7" t="n">
        <v>50</v>
      </c>
      <c r="M17" s="5" t="s">
        <v>41</v>
      </c>
    </row>
    <row r="18" customFormat="false" ht="15" hidden="false" customHeight="false" outlineLevel="0" collapsed="false">
      <c r="A18" s="8" t="n">
        <v>12</v>
      </c>
      <c r="B18" s="9" t="s">
        <v>79</v>
      </c>
      <c r="C18" s="9" t="s">
        <v>80</v>
      </c>
      <c r="D18" s="9" t="s">
        <v>81</v>
      </c>
      <c r="E18" s="8" t="n">
        <v>2</v>
      </c>
      <c r="F18" s="8" t="n">
        <v>0</v>
      </c>
      <c r="G18" s="8" t="n">
        <v>2</v>
      </c>
      <c r="H18" s="9" t="s">
        <v>82</v>
      </c>
      <c r="I18" s="9" t="s">
        <v>26</v>
      </c>
      <c r="J18" s="10" t="s">
        <v>46</v>
      </c>
      <c r="K18" s="11" t="n">
        <v>0.5</v>
      </c>
      <c r="L18" s="11" t="n">
        <v>1</v>
      </c>
      <c r="M18" s="9" t="s">
        <v>41</v>
      </c>
    </row>
    <row r="19" customFormat="false" ht="15" hidden="false" customHeight="false" outlineLevel="0" collapsed="false">
      <c r="A19" s="4" t="n">
        <v>13</v>
      </c>
      <c r="B19" s="5" t="s">
        <v>83</v>
      </c>
      <c r="C19" s="5" t="s">
        <v>84</v>
      </c>
      <c r="D19" s="5" t="s">
        <v>85</v>
      </c>
      <c r="E19" s="4" t="n">
        <v>2</v>
      </c>
      <c r="F19" s="4" t="n">
        <v>0</v>
      </c>
      <c r="G19" s="4" t="n">
        <v>2</v>
      </c>
      <c r="H19" s="5" t="s">
        <v>86</v>
      </c>
      <c r="I19" s="5" t="s">
        <v>26</v>
      </c>
      <c r="J19" s="6" t="s">
        <v>20</v>
      </c>
      <c r="K19" s="7" t="n">
        <v>2</v>
      </c>
      <c r="L19" s="7" t="n">
        <v>4</v>
      </c>
      <c r="M19" s="5" t="s">
        <v>41</v>
      </c>
    </row>
    <row r="20" customFormat="false" ht="15" hidden="false" customHeight="false" outlineLevel="0" collapsed="false">
      <c r="A20" s="8" t="n">
        <v>14</v>
      </c>
      <c r="B20" s="9" t="s">
        <v>87</v>
      </c>
      <c r="C20" s="9" t="s">
        <v>88</v>
      </c>
      <c r="D20" s="9" t="s">
        <v>89</v>
      </c>
      <c r="E20" s="8" t="n">
        <v>2</v>
      </c>
      <c r="F20" s="8" t="n">
        <v>2</v>
      </c>
      <c r="G20" s="8" t="n">
        <v>4</v>
      </c>
      <c r="H20" s="9" t="s">
        <v>90</v>
      </c>
      <c r="I20" s="9" t="s">
        <v>19</v>
      </c>
      <c r="J20" s="10" t="s">
        <v>20</v>
      </c>
      <c r="K20" s="11" t="n">
        <v>8</v>
      </c>
      <c r="L20" s="11" t="n">
        <v>32</v>
      </c>
      <c r="M20" s="9" t="s">
        <v>21</v>
      </c>
    </row>
    <row r="21" customFormat="false" ht="21.75" hidden="false" customHeight="true" outlineLevel="0" collapsed="false">
      <c r="A21" s="3" t="s">
        <v>91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customFormat="false" ht="15" hidden="false" customHeight="false" outlineLevel="0" collapsed="false">
      <c r="A22" s="8" t="n">
        <v>15</v>
      </c>
      <c r="B22" s="9" t="s">
        <v>92</v>
      </c>
      <c r="C22" s="9" t="s">
        <v>93</v>
      </c>
      <c r="D22" s="9" t="s">
        <v>85</v>
      </c>
      <c r="E22" s="8" t="n">
        <v>14</v>
      </c>
      <c r="F22" s="8" t="n">
        <v>0</v>
      </c>
      <c r="G22" s="8" t="n">
        <v>14</v>
      </c>
      <c r="H22" s="9" t="s">
        <v>94</v>
      </c>
      <c r="I22" s="9" t="s">
        <v>26</v>
      </c>
      <c r="J22" s="10" t="s">
        <v>46</v>
      </c>
      <c r="K22" s="11" t="n">
        <v>0.3</v>
      </c>
      <c r="L22" s="11" t="n">
        <v>4.2</v>
      </c>
      <c r="M22" s="9" t="s">
        <v>41</v>
      </c>
    </row>
    <row r="23" customFormat="false" ht="15" hidden="false" customHeight="false" outlineLevel="0" collapsed="false">
      <c r="A23" s="4" t="n">
        <v>16</v>
      </c>
      <c r="B23" s="5" t="s">
        <v>95</v>
      </c>
      <c r="C23" s="5" t="s">
        <v>93</v>
      </c>
      <c r="D23" s="5" t="s">
        <v>85</v>
      </c>
      <c r="E23" s="4" t="n">
        <v>8</v>
      </c>
      <c r="F23" s="4" t="n">
        <v>0</v>
      </c>
      <c r="G23" s="4" t="n">
        <v>8</v>
      </c>
      <c r="H23" s="5" t="s">
        <v>96</v>
      </c>
      <c r="I23" s="5" t="s">
        <v>26</v>
      </c>
      <c r="J23" s="6" t="s">
        <v>46</v>
      </c>
      <c r="K23" s="7" t="n">
        <v>0.3</v>
      </c>
      <c r="L23" s="7" t="n">
        <v>2.4</v>
      </c>
      <c r="M23" s="5" t="s">
        <v>41</v>
      </c>
    </row>
    <row r="24" customFormat="false" ht="15" hidden="false" customHeight="false" outlineLevel="0" collapsed="false">
      <c r="A24" s="8" t="n">
        <v>17</v>
      </c>
      <c r="B24" s="9" t="s">
        <v>97</v>
      </c>
      <c r="C24" s="9" t="s">
        <v>93</v>
      </c>
      <c r="D24" s="9" t="s">
        <v>85</v>
      </c>
      <c r="E24" s="8" t="n">
        <v>8</v>
      </c>
      <c r="F24" s="8" t="n">
        <v>0</v>
      </c>
      <c r="G24" s="8" t="n">
        <v>8</v>
      </c>
      <c r="H24" s="9" t="s">
        <v>98</v>
      </c>
      <c r="I24" s="9" t="s">
        <v>26</v>
      </c>
      <c r="J24" s="10" t="s">
        <v>46</v>
      </c>
      <c r="K24" s="11" t="n">
        <v>0.3</v>
      </c>
      <c r="L24" s="11" t="n">
        <v>2.4</v>
      </c>
      <c r="M24" s="9" t="s">
        <v>41</v>
      </c>
    </row>
    <row r="25" customFormat="false" ht="22.35" hidden="false" customHeight="false" outlineLevel="0" collapsed="false">
      <c r="A25" s="4" t="n">
        <v>18</v>
      </c>
      <c r="B25" s="5" t="s">
        <v>99</v>
      </c>
      <c r="C25" s="5" t="s">
        <v>100</v>
      </c>
      <c r="D25" s="5" t="s">
        <v>81</v>
      </c>
      <c r="E25" s="4" t="n">
        <v>30</v>
      </c>
      <c r="F25" s="4" t="n">
        <v>0</v>
      </c>
      <c r="G25" s="4" t="n">
        <v>30</v>
      </c>
      <c r="H25" s="5" t="s">
        <v>101</v>
      </c>
      <c r="I25" s="5" t="s">
        <v>26</v>
      </c>
      <c r="J25" s="6" t="s">
        <v>46</v>
      </c>
      <c r="K25" s="7" t="n">
        <v>0.5</v>
      </c>
      <c r="L25" s="7" t="n">
        <v>15</v>
      </c>
      <c r="M25" s="5" t="s">
        <v>102</v>
      </c>
    </row>
    <row r="26" customFormat="false" ht="21.75" hidden="false" customHeight="true" outlineLevel="0" collapsed="false">
      <c r="A26" s="3" t="s">
        <v>103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customFormat="false" ht="15" hidden="false" customHeight="false" outlineLevel="0" collapsed="false">
      <c r="A27" s="4" t="n">
        <v>19</v>
      </c>
      <c r="B27" s="5" t="s">
        <v>104</v>
      </c>
      <c r="C27" s="5" t="s">
        <v>105</v>
      </c>
      <c r="D27" s="5" t="s">
        <v>81</v>
      </c>
      <c r="E27" s="4" t="n">
        <v>4</v>
      </c>
      <c r="F27" s="4" t="n">
        <v>0</v>
      </c>
      <c r="G27" s="4" t="n">
        <v>4</v>
      </c>
      <c r="H27" s="5" t="s">
        <v>106</v>
      </c>
      <c r="I27" s="5" t="s">
        <v>26</v>
      </c>
      <c r="J27" s="6" t="s">
        <v>20</v>
      </c>
      <c r="K27" s="7" t="n">
        <v>1.5</v>
      </c>
      <c r="L27" s="7" t="n">
        <v>6</v>
      </c>
      <c r="M27" s="5" t="s">
        <v>41</v>
      </c>
    </row>
    <row r="28" customFormat="false" ht="21.75" hidden="false" customHeight="true" outlineLevel="0" collapsed="false">
      <c r="A28" s="3" t="s">
        <v>107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customFormat="false" ht="15" hidden="false" customHeight="false" outlineLevel="0" collapsed="false">
      <c r="A29" s="4" t="n">
        <v>20</v>
      </c>
      <c r="B29" s="5" t="s">
        <v>108</v>
      </c>
      <c r="C29" s="5" t="s">
        <v>109</v>
      </c>
      <c r="D29" s="5" t="s">
        <v>85</v>
      </c>
      <c r="E29" s="4" t="n">
        <v>8</v>
      </c>
      <c r="F29" s="4" t="n">
        <v>0</v>
      </c>
      <c r="G29" s="4" t="n">
        <v>8</v>
      </c>
      <c r="H29" s="5" t="s">
        <v>110</v>
      </c>
      <c r="I29" s="5" t="s">
        <v>26</v>
      </c>
      <c r="J29" s="6" t="s">
        <v>20</v>
      </c>
      <c r="K29" s="7" t="n">
        <v>1.5</v>
      </c>
      <c r="L29" s="7" t="n">
        <v>12</v>
      </c>
      <c r="M29" s="5" t="s">
        <v>41</v>
      </c>
    </row>
    <row r="30" customFormat="false" ht="15" hidden="false" customHeight="false" outlineLevel="0" collapsed="false">
      <c r="A30" s="8" t="n">
        <v>21</v>
      </c>
      <c r="B30" s="9" t="s">
        <v>111</v>
      </c>
      <c r="C30" s="9" t="s">
        <v>112</v>
      </c>
      <c r="D30" s="9" t="s">
        <v>113</v>
      </c>
      <c r="E30" s="8" t="n">
        <v>8</v>
      </c>
      <c r="F30" s="8" t="n">
        <v>0</v>
      </c>
      <c r="G30" s="8" t="n">
        <v>8</v>
      </c>
      <c r="H30" s="9" t="s">
        <v>114</v>
      </c>
      <c r="I30" s="9" t="s">
        <v>26</v>
      </c>
      <c r="J30" s="10" t="s">
        <v>20</v>
      </c>
      <c r="K30" s="11" t="n">
        <v>3</v>
      </c>
      <c r="L30" s="11" t="n">
        <v>24</v>
      </c>
      <c r="M30" s="9" t="s">
        <v>115</v>
      </c>
    </row>
    <row r="31" customFormat="false" ht="21.75" hidden="false" customHeight="true" outlineLevel="0" collapsed="false">
      <c r="A31" s="3" t="s">
        <v>116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customFormat="false" ht="15" hidden="false" customHeight="false" outlineLevel="0" collapsed="false">
      <c r="A32" s="8" t="n">
        <v>22</v>
      </c>
      <c r="B32" s="9" t="s">
        <v>117</v>
      </c>
      <c r="C32" s="9" t="s">
        <v>118</v>
      </c>
      <c r="D32" s="9" t="s">
        <v>85</v>
      </c>
      <c r="E32" s="8" t="n">
        <v>4</v>
      </c>
      <c r="F32" s="8" t="n">
        <v>0</v>
      </c>
      <c r="G32" s="8" t="n">
        <v>4</v>
      </c>
      <c r="H32" s="9" t="s">
        <v>119</v>
      </c>
      <c r="I32" s="9" t="s">
        <v>26</v>
      </c>
      <c r="J32" s="10" t="s">
        <v>20</v>
      </c>
      <c r="K32" s="11" t="n">
        <v>0.3</v>
      </c>
      <c r="L32" s="11" t="n">
        <v>1.2</v>
      </c>
      <c r="M32" s="9" t="s">
        <v>41</v>
      </c>
    </row>
    <row r="33" customFormat="false" ht="15" hidden="false" customHeight="false" outlineLevel="0" collapsed="false">
      <c r="A33" s="4" t="n">
        <v>23</v>
      </c>
      <c r="B33" s="5" t="s">
        <v>120</v>
      </c>
      <c r="C33" s="5" t="s">
        <v>121</v>
      </c>
      <c r="D33" s="5" t="s">
        <v>77</v>
      </c>
      <c r="E33" s="4" t="n">
        <v>2</v>
      </c>
      <c r="F33" s="4" t="n">
        <v>0</v>
      </c>
      <c r="G33" s="4" t="n">
        <v>2</v>
      </c>
      <c r="H33" s="5" t="s">
        <v>122</v>
      </c>
      <c r="I33" s="5" t="s">
        <v>26</v>
      </c>
      <c r="J33" s="6" t="s">
        <v>20</v>
      </c>
      <c r="K33" s="7" t="n">
        <v>1</v>
      </c>
      <c r="L33" s="7" t="n">
        <v>2</v>
      </c>
      <c r="M33" s="5" t="s">
        <v>41</v>
      </c>
    </row>
    <row r="34" customFormat="false" ht="21.75" hidden="false" customHeight="true" outlineLevel="0" collapsed="false">
      <c r="A34" s="3" t="s">
        <v>123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customFormat="false" ht="15" hidden="false" customHeight="false" outlineLevel="0" collapsed="false">
      <c r="A35" s="4" t="n">
        <v>24</v>
      </c>
      <c r="B35" s="5" t="s">
        <v>124</v>
      </c>
      <c r="C35" s="5" t="s">
        <v>125</v>
      </c>
      <c r="D35" s="5" t="s">
        <v>85</v>
      </c>
      <c r="E35" s="4" t="n">
        <v>2</v>
      </c>
      <c r="F35" s="4" t="n">
        <v>0</v>
      </c>
      <c r="G35" s="4" t="n">
        <v>2</v>
      </c>
      <c r="H35" s="5" t="s">
        <v>126</v>
      </c>
      <c r="I35" s="5" t="s">
        <v>26</v>
      </c>
      <c r="J35" s="6" t="s">
        <v>20</v>
      </c>
      <c r="K35" s="7" t="n">
        <v>0.5</v>
      </c>
      <c r="L35" s="7" t="n">
        <v>1</v>
      </c>
      <c r="M35" s="5" t="s">
        <v>41</v>
      </c>
    </row>
    <row r="36" customFormat="false" ht="15" hidden="false" customHeight="false" outlineLevel="0" collapsed="false">
      <c r="A36" s="8" t="n">
        <v>25</v>
      </c>
      <c r="B36" s="9" t="s">
        <v>127</v>
      </c>
      <c r="C36" s="9" t="s">
        <v>125</v>
      </c>
      <c r="D36" s="9" t="s">
        <v>85</v>
      </c>
      <c r="E36" s="8" t="n">
        <v>2</v>
      </c>
      <c r="F36" s="8" t="n">
        <v>0</v>
      </c>
      <c r="G36" s="8" t="n">
        <v>2</v>
      </c>
      <c r="H36" s="9" t="s">
        <v>128</v>
      </c>
      <c r="I36" s="9" t="s">
        <v>26</v>
      </c>
      <c r="J36" s="10" t="s">
        <v>20</v>
      </c>
      <c r="K36" s="11" t="n">
        <v>0.5</v>
      </c>
      <c r="L36" s="11" t="n">
        <v>1</v>
      </c>
      <c r="M36" s="9" t="s">
        <v>41</v>
      </c>
    </row>
    <row r="37" customFormat="false" ht="15" hidden="false" customHeight="false" outlineLevel="0" collapsed="false">
      <c r="A37" s="4" t="n">
        <v>26</v>
      </c>
      <c r="B37" s="5" t="s">
        <v>129</v>
      </c>
      <c r="C37" s="5" t="s">
        <v>118</v>
      </c>
      <c r="D37" s="5" t="s">
        <v>85</v>
      </c>
      <c r="E37" s="4" t="n">
        <v>6</v>
      </c>
      <c r="F37" s="4" t="n">
        <v>0</v>
      </c>
      <c r="G37" s="4" t="n">
        <v>6</v>
      </c>
      <c r="H37" s="5" t="s">
        <v>130</v>
      </c>
      <c r="I37" s="5" t="s">
        <v>26</v>
      </c>
      <c r="J37" s="6" t="s">
        <v>20</v>
      </c>
      <c r="K37" s="7" t="n">
        <v>0.3</v>
      </c>
      <c r="L37" s="7" t="n">
        <v>1.8</v>
      </c>
      <c r="M37" s="5" t="s">
        <v>41</v>
      </c>
    </row>
    <row r="38" customFormat="false" ht="15" hidden="false" customHeight="false" outlineLevel="0" collapsed="false">
      <c r="A38" s="8" t="n">
        <v>27</v>
      </c>
      <c r="B38" s="9" t="s">
        <v>131</v>
      </c>
      <c r="C38" s="9" t="s">
        <v>132</v>
      </c>
      <c r="D38" s="9" t="s">
        <v>81</v>
      </c>
      <c r="E38" s="8" t="n">
        <v>2</v>
      </c>
      <c r="F38" s="8" t="n">
        <v>0</v>
      </c>
      <c r="G38" s="8" t="n">
        <v>2</v>
      </c>
      <c r="H38" s="9" t="s">
        <v>133</v>
      </c>
      <c r="I38" s="9" t="s">
        <v>26</v>
      </c>
      <c r="J38" s="10" t="s">
        <v>20</v>
      </c>
      <c r="K38" s="11" t="n">
        <v>1</v>
      </c>
      <c r="L38" s="11" t="n">
        <v>2</v>
      </c>
      <c r="M38" s="9" t="s">
        <v>41</v>
      </c>
    </row>
    <row r="39" customFormat="false" ht="15" hidden="false" customHeight="false" outlineLevel="0" collapsed="false">
      <c r="A39" s="4" t="n">
        <v>28</v>
      </c>
      <c r="B39" s="5" t="s">
        <v>134</v>
      </c>
      <c r="C39" s="5" t="s">
        <v>135</v>
      </c>
      <c r="D39" s="5" t="s">
        <v>77</v>
      </c>
      <c r="E39" s="4" t="n">
        <v>2</v>
      </c>
      <c r="F39" s="4" t="n">
        <v>0</v>
      </c>
      <c r="G39" s="4" t="n">
        <v>2</v>
      </c>
      <c r="H39" s="5" t="s">
        <v>136</v>
      </c>
      <c r="I39" s="5" t="s">
        <v>26</v>
      </c>
      <c r="J39" s="6" t="s">
        <v>20</v>
      </c>
      <c r="K39" s="7" t="n">
        <v>0.5</v>
      </c>
      <c r="L39" s="7" t="n">
        <v>1</v>
      </c>
      <c r="M39" s="5" t="s">
        <v>41</v>
      </c>
    </row>
    <row r="40" customFormat="false" ht="21.75" hidden="false" customHeight="true" outlineLevel="0" collapsed="false">
      <c r="A40" s="3" t="s">
        <v>137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customFormat="false" ht="15" hidden="false" customHeight="false" outlineLevel="0" collapsed="false">
      <c r="A41" s="4" t="n">
        <v>29</v>
      </c>
      <c r="B41" s="5" t="s">
        <v>138</v>
      </c>
      <c r="C41" s="5" t="s">
        <v>118</v>
      </c>
      <c r="D41" s="5" t="s">
        <v>85</v>
      </c>
      <c r="E41" s="4" t="n">
        <v>1</v>
      </c>
      <c r="F41" s="4" t="n">
        <v>0</v>
      </c>
      <c r="G41" s="4" t="n">
        <v>1</v>
      </c>
      <c r="H41" s="5" t="s">
        <v>139</v>
      </c>
      <c r="I41" s="5" t="s">
        <v>26</v>
      </c>
      <c r="J41" s="6" t="s">
        <v>20</v>
      </c>
      <c r="K41" s="7" t="n">
        <v>0.3</v>
      </c>
      <c r="L41" s="7" t="n">
        <v>0.3</v>
      </c>
      <c r="M41" s="5" t="s">
        <v>41</v>
      </c>
    </row>
    <row r="42" customFormat="false" ht="15" hidden="false" customHeight="false" outlineLevel="0" collapsed="false">
      <c r="A42" s="8" t="n">
        <v>30</v>
      </c>
      <c r="B42" s="9" t="s">
        <v>140</v>
      </c>
      <c r="C42" s="9" t="s">
        <v>118</v>
      </c>
      <c r="D42" s="9" t="s">
        <v>85</v>
      </c>
      <c r="E42" s="8" t="n">
        <v>1</v>
      </c>
      <c r="F42" s="8" t="n">
        <v>0</v>
      </c>
      <c r="G42" s="8" t="n">
        <v>1</v>
      </c>
      <c r="H42" s="9" t="s">
        <v>141</v>
      </c>
      <c r="I42" s="9" t="s">
        <v>26</v>
      </c>
      <c r="J42" s="10" t="s">
        <v>20</v>
      </c>
      <c r="K42" s="11" t="n">
        <v>0.3</v>
      </c>
      <c r="L42" s="11" t="n">
        <v>0.3</v>
      </c>
      <c r="M42" s="9" t="s">
        <v>41</v>
      </c>
    </row>
    <row r="43" customFormat="false" ht="21.75" hidden="false" customHeight="true" outlineLevel="0" collapsed="false">
      <c r="A43" s="3" t="s">
        <v>142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customFormat="false" ht="15" hidden="false" customHeight="false" outlineLevel="0" collapsed="false">
      <c r="A44" s="8" t="n">
        <v>31</v>
      </c>
      <c r="B44" s="9" t="s">
        <v>143</v>
      </c>
      <c r="C44" s="9" t="s">
        <v>144</v>
      </c>
      <c r="D44" s="9" t="s">
        <v>145</v>
      </c>
      <c r="E44" s="8" t="n">
        <v>6</v>
      </c>
      <c r="F44" s="8" t="n">
        <v>0</v>
      </c>
      <c r="G44" s="8" t="n">
        <v>6</v>
      </c>
      <c r="H44" s="9" t="s">
        <v>146</v>
      </c>
      <c r="I44" s="9" t="s">
        <v>26</v>
      </c>
      <c r="J44" s="10" t="s">
        <v>20</v>
      </c>
      <c r="K44" s="11" t="n">
        <v>5</v>
      </c>
      <c r="L44" s="11" t="n">
        <v>30</v>
      </c>
      <c r="M44" s="9" t="s">
        <v>41</v>
      </c>
    </row>
    <row r="45" customFormat="false" ht="15" hidden="false" customHeight="false" outlineLevel="0" collapsed="false">
      <c r="A45" s="4" t="n">
        <v>32</v>
      </c>
      <c r="B45" s="5" t="s">
        <v>147</v>
      </c>
      <c r="C45" s="5" t="s">
        <v>148</v>
      </c>
      <c r="D45" s="5" t="s">
        <v>81</v>
      </c>
      <c r="E45" s="4" t="n">
        <v>1</v>
      </c>
      <c r="F45" s="4" t="n">
        <v>1</v>
      </c>
      <c r="G45" s="4" t="n">
        <v>2</v>
      </c>
      <c r="H45" s="5" t="s">
        <v>149</v>
      </c>
      <c r="I45" s="5" t="s">
        <v>26</v>
      </c>
      <c r="J45" s="6" t="s">
        <v>20</v>
      </c>
      <c r="K45" s="7" t="n">
        <v>3</v>
      </c>
      <c r="L45" s="7" t="n">
        <v>6</v>
      </c>
      <c r="M45" s="5" t="s">
        <v>41</v>
      </c>
    </row>
    <row r="46" customFormat="false" ht="15" hidden="false" customHeight="false" outlineLevel="0" collapsed="false">
      <c r="A46" s="8" t="n">
        <v>33</v>
      </c>
      <c r="B46" s="9" t="s">
        <v>150</v>
      </c>
      <c r="C46" s="9" t="s">
        <v>151</v>
      </c>
      <c r="D46" s="9" t="s">
        <v>17</v>
      </c>
      <c r="E46" s="8" t="n">
        <v>8</v>
      </c>
      <c r="F46" s="8" t="n">
        <v>0</v>
      </c>
      <c r="G46" s="8" t="n">
        <v>8</v>
      </c>
      <c r="H46" s="9" t="s">
        <v>152</v>
      </c>
      <c r="I46" s="9" t="s">
        <v>19</v>
      </c>
      <c r="J46" s="10" t="s">
        <v>20</v>
      </c>
      <c r="K46" s="11" t="n">
        <v>5</v>
      </c>
      <c r="L46" s="11" t="n">
        <v>40</v>
      </c>
      <c r="M46" s="9" t="s">
        <v>21</v>
      </c>
    </row>
    <row r="47" customFormat="false" ht="15" hidden="false" customHeight="false" outlineLevel="0" collapsed="false">
      <c r="A47" s="4" t="n">
        <v>34</v>
      </c>
      <c r="B47" s="5" t="s">
        <v>153</v>
      </c>
      <c r="C47" s="5" t="s">
        <v>154</v>
      </c>
      <c r="D47" s="5" t="s">
        <v>155</v>
      </c>
      <c r="E47" s="4" t="n">
        <v>1</v>
      </c>
      <c r="F47" s="4" t="n">
        <v>0</v>
      </c>
      <c r="G47" s="4" t="n">
        <v>1</v>
      </c>
      <c r="H47" s="5" t="s">
        <v>156</v>
      </c>
      <c r="I47" s="5" t="s">
        <v>19</v>
      </c>
      <c r="J47" s="6" t="s">
        <v>20</v>
      </c>
      <c r="K47" s="7" t="n">
        <v>30</v>
      </c>
      <c r="L47" s="7" t="n">
        <v>30</v>
      </c>
      <c r="M47" s="5" t="s">
        <v>21</v>
      </c>
    </row>
    <row r="48" customFormat="false" ht="15" hidden="false" customHeight="false" outlineLevel="0" collapsed="false">
      <c r="A48" s="8" t="n">
        <v>35</v>
      </c>
      <c r="B48" s="9" t="s">
        <v>157</v>
      </c>
      <c r="C48" s="9" t="s">
        <v>158</v>
      </c>
      <c r="D48" s="9" t="s">
        <v>60</v>
      </c>
      <c r="E48" s="8" t="n">
        <v>14</v>
      </c>
      <c r="F48" s="8" t="n">
        <v>0</v>
      </c>
      <c r="G48" s="8" t="n">
        <v>14</v>
      </c>
      <c r="H48" s="9" t="s">
        <v>159</v>
      </c>
      <c r="I48" s="9" t="s">
        <v>26</v>
      </c>
      <c r="J48" s="10" t="s">
        <v>20</v>
      </c>
      <c r="K48" s="11" t="n">
        <v>1.5</v>
      </c>
      <c r="L48" s="11" t="n">
        <v>21</v>
      </c>
      <c r="M48" s="9" t="s">
        <v>41</v>
      </c>
    </row>
    <row r="50" customFormat="false" ht="15" hidden="false" customHeight="false" outlineLevel="0" collapsed="false">
      <c r="A50" s="14" t="s">
        <v>160</v>
      </c>
      <c r="B50" s="14"/>
      <c r="C50" s="14"/>
      <c r="D50" s="14"/>
      <c r="E50" s="14"/>
      <c r="F50" s="14"/>
      <c r="G50" s="15" t="n">
        <f aca="false">SUM(G5:G48)</f>
        <v>204</v>
      </c>
      <c r="H50" s="16"/>
      <c r="I50" s="16"/>
      <c r="J50" s="16"/>
      <c r="K50" s="16"/>
      <c r="L50" s="17" t="n">
        <f aca="false">SUM(L5:L48)</f>
        <v>2089.2</v>
      </c>
      <c r="M50" s="16"/>
    </row>
  </sheetData>
  <mergeCells count="12">
    <mergeCell ref="A1:M1"/>
    <mergeCell ref="A4:M4"/>
    <mergeCell ref="A11:M11"/>
    <mergeCell ref="A16:M16"/>
    <mergeCell ref="A21:M21"/>
    <mergeCell ref="A26:M26"/>
    <mergeCell ref="A28:M28"/>
    <mergeCell ref="A31:M31"/>
    <mergeCell ref="A34:M34"/>
    <mergeCell ref="A40:M40"/>
    <mergeCell ref="A43:M43"/>
    <mergeCell ref="A50:F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18" t="s">
        <v>161</v>
      </c>
      <c r="B1" s="18"/>
      <c r="C1" s="18"/>
      <c r="D1" s="18"/>
      <c r="E1" s="18"/>
      <c r="F1" s="18"/>
    </row>
    <row r="2" customFormat="false" ht="23.85" hidden="false" customHeight="false" outlineLevel="0" collapsed="false">
      <c r="A2" s="19" t="s">
        <v>162</v>
      </c>
      <c r="B2" s="19" t="s">
        <v>163</v>
      </c>
      <c r="C2" s="19" t="s">
        <v>164</v>
      </c>
      <c r="D2" s="19" t="s">
        <v>165</v>
      </c>
      <c r="E2" s="19" t="s">
        <v>166</v>
      </c>
      <c r="F2" s="19" t="s">
        <v>167</v>
      </c>
    </row>
    <row r="3" customFormat="false" ht="24" hidden="false" customHeight="true" outlineLevel="0" collapsed="false">
      <c r="A3" s="20" t="s">
        <v>168</v>
      </c>
      <c r="B3" s="20"/>
      <c r="C3" s="20"/>
      <c r="D3" s="20"/>
      <c r="E3" s="20"/>
      <c r="F3" s="20"/>
    </row>
    <row r="4" customFormat="false" ht="15" hidden="false" customHeight="false" outlineLevel="0" collapsed="false">
      <c r="A4" s="21"/>
      <c r="B4" s="9" t="s">
        <v>169</v>
      </c>
      <c r="C4" s="22" t="n">
        <v>4</v>
      </c>
      <c r="D4" s="23" t="n">
        <v>81</v>
      </c>
      <c r="E4" s="23" t="n">
        <v>324</v>
      </c>
      <c r="F4" s="9" t="s">
        <v>170</v>
      </c>
    </row>
    <row r="5" customFormat="false" ht="22.35" hidden="false" customHeight="false" outlineLevel="0" collapsed="false">
      <c r="A5" s="24"/>
      <c r="B5" s="5" t="s">
        <v>171</v>
      </c>
      <c r="C5" s="25" t="n">
        <v>10</v>
      </c>
      <c r="D5" s="26" t="n">
        <v>47</v>
      </c>
      <c r="E5" s="26" t="n">
        <v>470</v>
      </c>
      <c r="F5" s="5" t="s">
        <v>172</v>
      </c>
    </row>
    <row r="6" customFormat="false" ht="15" hidden="false" customHeight="false" outlineLevel="0" collapsed="false">
      <c r="A6" s="21"/>
      <c r="B6" s="9" t="s">
        <v>173</v>
      </c>
      <c r="C6" s="22" t="n">
        <v>8</v>
      </c>
      <c r="D6" s="23" t="n">
        <v>12</v>
      </c>
      <c r="E6" s="23" t="n">
        <v>96</v>
      </c>
      <c r="F6" s="9" t="s">
        <v>174</v>
      </c>
    </row>
    <row r="7" customFormat="false" ht="15" hidden="false" customHeight="false" outlineLevel="0" collapsed="false">
      <c r="A7" s="24"/>
      <c r="B7" s="5" t="s">
        <v>175</v>
      </c>
      <c r="C7" s="25" t="n">
        <v>3</v>
      </c>
      <c r="D7" s="26" t="n">
        <v>3</v>
      </c>
      <c r="E7" s="26" t="n">
        <v>9</v>
      </c>
      <c r="F7" s="5" t="s">
        <v>176</v>
      </c>
    </row>
    <row r="8" customFormat="false" ht="15" hidden="false" customHeight="false" outlineLevel="0" collapsed="false">
      <c r="A8" s="21"/>
      <c r="B8" s="9" t="s">
        <v>177</v>
      </c>
      <c r="C8" s="22" t="n">
        <v>4</v>
      </c>
      <c r="D8" s="23" t="n">
        <v>2.5</v>
      </c>
      <c r="E8" s="23" t="n">
        <v>10</v>
      </c>
      <c r="F8" s="9" t="s">
        <v>178</v>
      </c>
    </row>
    <row r="9" customFormat="false" ht="15" hidden="false" customHeight="false" outlineLevel="0" collapsed="false">
      <c r="A9" s="24"/>
      <c r="B9" s="5" t="s">
        <v>179</v>
      </c>
      <c r="C9" s="25" t="n">
        <v>8</v>
      </c>
      <c r="D9" s="26" t="n">
        <v>2.2</v>
      </c>
      <c r="E9" s="26" t="n">
        <v>17.6</v>
      </c>
      <c r="F9" s="5" t="s">
        <v>180</v>
      </c>
    </row>
    <row r="10" customFormat="false" ht="15" hidden="false" customHeight="false" outlineLevel="0" collapsed="false">
      <c r="A10" s="21"/>
      <c r="B10" s="9" t="s">
        <v>181</v>
      </c>
      <c r="C10" s="22" t="n">
        <v>2</v>
      </c>
      <c r="D10" s="23" t="n">
        <v>25</v>
      </c>
      <c r="E10" s="23" t="n">
        <v>50</v>
      </c>
      <c r="F10" s="9" t="s">
        <v>176</v>
      </c>
    </row>
    <row r="11" customFormat="false" ht="15" hidden="false" customHeight="false" outlineLevel="0" collapsed="false">
      <c r="A11" s="24"/>
      <c r="B11" s="5" t="s">
        <v>182</v>
      </c>
      <c r="C11" s="25" t="n">
        <v>2</v>
      </c>
      <c r="D11" s="26" t="n">
        <v>1</v>
      </c>
      <c r="E11" s="26" t="n">
        <v>2</v>
      </c>
      <c r="F11" s="5" t="s">
        <v>122</v>
      </c>
    </row>
    <row r="12" customFormat="false" ht="15" hidden="false" customHeight="false" outlineLevel="0" collapsed="false">
      <c r="A12" s="21"/>
      <c r="B12" s="9" t="s">
        <v>183</v>
      </c>
      <c r="C12" s="22" t="n">
        <v>4</v>
      </c>
      <c r="D12" s="23" t="n">
        <v>1.5</v>
      </c>
      <c r="E12" s="23" t="n">
        <v>6</v>
      </c>
      <c r="F12" s="9" t="s">
        <v>184</v>
      </c>
    </row>
    <row r="13" customFormat="false" ht="15" hidden="false" customHeight="false" outlineLevel="0" collapsed="false">
      <c r="A13" s="24"/>
      <c r="B13" s="5" t="s">
        <v>185</v>
      </c>
      <c r="C13" s="25" t="n">
        <v>2</v>
      </c>
      <c r="D13" s="26" t="n">
        <v>0.5</v>
      </c>
      <c r="E13" s="26" t="n">
        <v>1</v>
      </c>
      <c r="F13" s="5" t="s">
        <v>186</v>
      </c>
    </row>
    <row r="14" customFormat="false" ht="15" hidden="false" customHeight="false" outlineLevel="0" collapsed="false">
      <c r="A14" s="21"/>
      <c r="B14" s="9" t="s">
        <v>187</v>
      </c>
      <c r="C14" s="22" t="n">
        <v>2</v>
      </c>
      <c r="D14" s="23" t="n">
        <v>1</v>
      </c>
      <c r="E14" s="23" t="n">
        <v>2</v>
      </c>
      <c r="F14" s="9" t="s">
        <v>188</v>
      </c>
    </row>
    <row r="15" customFormat="false" ht="22.35" hidden="false" customHeight="false" outlineLevel="0" collapsed="false">
      <c r="A15" s="24"/>
      <c r="B15" s="5" t="s">
        <v>189</v>
      </c>
      <c r="C15" s="25" t="n">
        <v>30</v>
      </c>
      <c r="D15" s="26" t="n">
        <v>0.5</v>
      </c>
      <c r="E15" s="26" t="n">
        <v>15</v>
      </c>
      <c r="F15" s="5" t="s">
        <v>190</v>
      </c>
    </row>
    <row r="16" customFormat="false" ht="15" hidden="false" customHeight="false" outlineLevel="0" collapsed="false">
      <c r="A16" s="21"/>
      <c r="B16" s="9" t="s">
        <v>191</v>
      </c>
      <c r="C16" s="22" t="n">
        <v>8</v>
      </c>
      <c r="D16" s="23" t="n">
        <v>3</v>
      </c>
      <c r="E16" s="23" t="n">
        <v>24</v>
      </c>
      <c r="F16" s="9" t="s">
        <v>192</v>
      </c>
    </row>
    <row r="17" customFormat="false" ht="32.8" hidden="false" customHeight="false" outlineLevel="0" collapsed="false">
      <c r="A17" s="24"/>
      <c r="B17" s="5" t="s">
        <v>193</v>
      </c>
      <c r="C17" s="25" t="n">
        <v>46</v>
      </c>
      <c r="D17" s="26" t="n">
        <v>0.35</v>
      </c>
      <c r="E17" s="26" t="n">
        <v>16.1</v>
      </c>
      <c r="F17" s="5" t="s">
        <v>194</v>
      </c>
    </row>
    <row r="18" customFormat="false" ht="15" hidden="false" customHeight="false" outlineLevel="0" collapsed="false">
      <c r="A18" s="21"/>
      <c r="B18" s="9" t="s">
        <v>108</v>
      </c>
      <c r="C18" s="22" t="n">
        <v>8</v>
      </c>
      <c r="D18" s="23" t="n">
        <v>1.5</v>
      </c>
      <c r="E18" s="23" t="n">
        <v>12</v>
      </c>
      <c r="F18" s="9" t="s">
        <v>195</v>
      </c>
    </row>
    <row r="19" customFormat="false" ht="15" hidden="false" customHeight="false" outlineLevel="0" collapsed="false">
      <c r="A19" s="24"/>
      <c r="B19" s="5" t="s">
        <v>196</v>
      </c>
      <c r="C19" s="25" t="n">
        <v>2</v>
      </c>
      <c r="D19" s="26" t="n">
        <v>2</v>
      </c>
      <c r="E19" s="26" t="n">
        <v>4</v>
      </c>
      <c r="F19" s="5" t="s">
        <v>197</v>
      </c>
    </row>
    <row r="20" customFormat="false" ht="15" hidden="false" customHeight="false" outlineLevel="0" collapsed="false">
      <c r="A20" s="21"/>
      <c r="B20" s="9" t="s">
        <v>198</v>
      </c>
      <c r="C20" s="22" t="n">
        <v>6</v>
      </c>
      <c r="D20" s="23" t="n">
        <v>5</v>
      </c>
      <c r="E20" s="23" t="n">
        <v>30</v>
      </c>
      <c r="F20" s="9" t="s">
        <v>199</v>
      </c>
    </row>
    <row r="21" customFormat="false" ht="15" hidden="false" customHeight="false" outlineLevel="0" collapsed="false">
      <c r="A21" s="24"/>
      <c r="B21" s="5" t="s">
        <v>147</v>
      </c>
      <c r="C21" s="25" t="n">
        <v>2</v>
      </c>
      <c r="D21" s="26" t="n">
        <v>3</v>
      </c>
      <c r="E21" s="26" t="n">
        <v>6</v>
      </c>
      <c r="F21" s="5" t="s">
        <v>149</v>
      </c>
    </row>
    <row r="22" customFormat="false" ht="15" hidden="false" customHeight="false" outlineLevel="0" collapsed="false">
      <c r="A22" s="21"/>
      <c r="B22" s="9" t="s">
        <v>157</v>
      </c>
      <c r="C22" s="22" t="n">
        <v>14</v>
      </c>
      <c r="D22" s="23" t="n">
        <v>1.5</v>
      </c>
      <c r="E22" s="23" t="n">
        <v>21</v>
      </c>
      <c r="F22" s="9" t="s">
        <v>200</v>
      </c>
    </row>
    <row r="23" customFormat="false" ht="15" hidden="false" customHeight="false" outlineLevel="0" collapsed="false">
      <c r="A23" s="27" t="s">
        <v>201</v>
      </c>
      <c r="B23" s="27"/>
      <c r="C23" s="27"/>
      <c r="D23" s="27"/>
      <c r="E23" s="28" t="n">
        <f aca="false">SUM(E4:E22)</f>
        <v>1115.7</v>
      </c>
      <c r="F23" s="29"/>
    </row>
    <row r="25" customFormat="false" ht="24" hidden="false" customHeight="true" outlineLevel="0" collapsed="false">
      <c r="A25" s="30" t="s">
        <v>202</v>
      </c>
      <c r="B25" s="30"/>
      <c r="C25" s="30"/>
      <c r="D25" s="30"/>
      <c r="E25" s="30"/>
      <c r="F25" s="30"/>
    </row>
    <row r="26" customFormat="false" ht="15" hidden="false" customHeight="false" outlineLevel="0" collapsed="false">
      <c r="A26" s="21"/>
      <c r="B26" s="9" t="s">
        <v>203</v>
      </c>
      <c r="C26" s="22" t="n">
        <v>12</v>
      </c>
      <c r="D26" s="23" t="n">
        <v>28</v>
      </c>
      <c r="E26" s="23" t="n">
        <v>336</v>
      </c>
      <c r="F26" s="9" t="s">
        <v>204</v>
      </c>
    </row>
    <row r="27" customFormat="false" ht="15" hidden="false" customHeight="false" outlineLevel="0" collapsed="false">
      <c r="A27" s="24"/>
      <c r="B27" s="5" t="s">
        <v>205</v>
      </c>
      <c r="C27" s="25" t="n">
        <v>2</v>
      </c>
      <c r="D27" s="26" t="n">
        <v>55</v>
      </c>
      <c r="E27" s="26" t="n">
        <v>110</v>
      </c>
      <c r="F27" s="5" t="s">
        <v>206</v>
      </c>
    </row>
    <row r="28" customFormat="false" ht="15" hidden="false" customHeight="false" outlineLevel="0" collapsed="false">
      <c r="A28" s="21"/>
      <c r="B28" s="9" t="s">
        <v>207</v>
      </c>
      <c r="C28" s="22" t="n">
        <v>8</v>
      </c>
      <c r="D28" s="23" t="n">
        <v>5</v>
      </c>
      <c r="E28" s="23" t="n">
        <v>40</v>
      </c>
      <c r="F28" s="9" t="s">
        <v>152</v>
      </c>
    </row>
    <row r="29" customFormat="false" ht="15" hidden="false" customHeight="false" outlineLevel="0" collapsed="false">
      <c r="A29" s="24"/>
      <c r="B29" s="5" t="s">
        <v>208</v>
      </c>
      <c r="C29" s="25" t="n">
        <v>4</v>
      </c>
      <c r="D29" s="26" t="n">
        <v>8</v>
      </c>
      <c r="E29" s="26" t="n">
        <v>32</v>
      </c>
      <c r="F29" s="5" t="s">
        <v>209</v>
      </c>
    </row>
    <row r="30" customFormat="false" ht="15" hidden="false" customHeight="false" outlineLevel="0" collapsed="false">
      <c r="A30" s="21"/>
      <c r="B30" s="9" t="s">
        <v>210</v>
      </c>
      <c r="C30" s="22" t="n">
        <v>1</v>
      </c>
      <c r="D30" s="23" t="n">
        <v>30</v>
      </c>
      <c r="E30" s="23" t="n">
        <v>30</v>
      </c>
      <c r="F30" s="9" t="s">
        <v>211</v>
      </c>
    </row>
    <row r="31" customFormat="false" ht="15" hidden="false" customHeight="false" outlineLevel="0" collapsed="false">
      <c r="A31" s="27" t="s">
        <v>212</v>
      </c>
      <c r="B31" s="27"/>
      <c r="C31" s="27"/>
      <c r="D31" s="27"/>
      <c r="E31" s="28" t="n">
        <f aca="false">SUM(E26:E30)</f>
        <v>548</v>
      </c>
      <c r="F31" s="29"/>
    </row>
    <row r="33" customFormat="false" ht="24" hidden="false" customHeight="true" outlineLevel="0" collapsed="false">
      <c r="A33" s="31" t="s">
        <v>213</v>
      </c>
      <c r="B33" s="31"/>
      <c r="C33" s="31"/>
      <c r="D33" s="31"/>
      <c r="E33" s="31"/>
      <c r="F33" s="31"/>
    </row>
    <row r="34" customFormat="false" ht="15" hidden="false" customHeight="false" outlineLevel="0" collapsed="false">
      <c r="A34" s="21"/>
      <c r="B34" s="9" t="s">
        <v>214</v>
      </c>
      <c r="C34" s="22" t="n">
        <v>6</v>
      </c>
      <c r="D34" s="23" t="n">
        <v>55</v>
      </c>
      <c r="E34" s="23" t="n">
        <v>330</v>
      </c>
      <c r="F34" s="9" t="s">
        <v>215</v>
      </c>
    </row>
    <row r="35" customFormat="false" ht="15" hidden="false" customHeight="false" outlineLevel="0" collapsed="false">
      <c r="A35" s="24"/>
      <c r="B35" s="5" t="s">
        <v>216</v>
      </c>
      <c r="C35" s="25" t="n">
        <v>4</v>
      </c>
      <c r="D35" s="26" t="n">
        <v>18</v>
      </c>
      <c r="E35" s="26" t="n">
        <v>72</v>
      </c>
      <c r="F35" s="5" t="s">
        <v>217</v>
      </c>
    </row>
    <row r="36" customFormat="false" ht="15" hidden="false" customHeight="false" outlineLevel="0" collapsed="false">
      <c r="A36" s="27" t="s">
        <v>218</v>
      </c>
      <c r="B36" s="27"/>
      <c r="C36" s="27"/>
      <c r="D36" s="27"/>
      <c r="E36" s="28" t="n">
        <f aca="false">SUM(E34:E35)</f>
        <v>402</v>
      </c>
      <c r="F36" s="29"/>
    </row>
    <row r="38" customFormat="false" ht="24" hidden="false" customHeight="true" outlineLevel="0" collapsed="false">
      <c r="A38" s="32" t="s">
        <v>219</v>
      </c>
      <c r="B38" s="32"/>
      <c r="C38" s="32"/>
      <c r="D38" s="32"/>
      <c r="E38" s="32"/>
      <c r="F38" s="32"/>
    </row>
    <row r="39" customFormat="false" ht="15" hidden="false" customHeight="false" outlineLevel="0" collapsed="false">
      <c r="A39" s="21"/>
      <c r="B39" s="9" t="s">
        <v>220</v>
      </c>
      <c r="C39" s="22" t="n">
        <v>10</v>
      </c>
      <c r="D39" s="23" t="n">
        <v>40</v>
      </c>
      <c r="E39" s="23" t="n">
        <v>400</v>
      </c>
      <c r="F39" s="9" t="s">
        <v>221</v>
      </c>
    </row>
    <row r="40" customFormat="false" ht="15" hidden="false" customHeight="false" outlineLevel="0" collapsed="false">
      <c r="A40" s="24"/>
      <c r="B40" s="5" t="s">
        <v>222</v>
      </c>
      <c r="C40" s="25" t="n">
        <v>8</v>
      </c>
      <c r="D40" s="26" t="n">
        <v>12</v>
      </c>
      <c r="E40" s="26" t="n">
        <v>96</v>
      </c>
      <c r="F40" s="5" t="s">
        <v>221</v>
      </c>
    </row>
    <row r="41" customFormat="false" ht="15" hidden="false" customHeight="false" outlineLevel="0" collapsed="false">
      <c r="A41" s="27" t="s">
        <v>223</v>
      </c>
      <c r="B41" s="27"/>
      <c r="C41" s="27"/>
      <c r="D41" s="27"/>
      <c r="E41" s="28" t="n">
        <f aca="false">SUM(E39:E40)</f>
        <v>496</v>
      </c>
      <c r="F41" s="29"/>
    </row>
    <row r="44" customFormat="false" ht="15" hidden="false" customHeight="false" outlineLevel="0" collapsed="false">
      <c r="A44" s="33" t="s">
        <v>224</v>
      </c>
      <c r="B44" s="33"/>
      <c r="C44" s="33"/>
      <c r="D44" s="33"/>
      <c r="E44" s="33"/>
      <c r="F44" s="33"/>
    </row>
    <row r="45" customFormat="false" ht="15" hidden="false" customHeight="true" outlineLevel="0" collapsed="false">
      <c r="A45" s="34" t="s">
        <v>225</v>
      </c>
      <c r="B45" s="34"/>
      <c r="C45" s="34"/>
      <c r="D45" s="34"/>
      <c r="E45" s="34"/>
      <c r="F45" s="34"/>
    </row>
    <row r="46" customFormat="false" ht="15" hidden="false" customHeight="true" outlineLevel="0" collapsed="false">
      <c r="A46" s="34" t="s">
        <v>226</v>
      </c>
      <c r="B46" s="34"/>
      <c r="C46" s="34"/>
      <c r="D46" s="34"/>
      <c r="E46" s="34"/>
      <c r="F46" s="34"/>
    </row>
    <row r="47" customFormat="false" ht="15" hidden="false" customHeight="true" outlineLevel="0" collapsed="false">
      <c r="A47" s="34" t="s">
        <v>227</v>
      </c>
      <c r="B47" s="34"/>
      <c r="C47" s="34"/>
      <c r="D47" s="34"/>
      <c r="E47" s="34"/>
      <c r="F47" s="34"/>
    </row>
    <row r="48" customFormat="false" ht="15" hidden="false" customHeight="true" outlineLevel="0" collapsed="false">
      <c r="A48" s="34" t="s">
        <v>228</v>
      </c>
      <c r="B48" s="34"/>
      <c r="C48" s="34"/>
      <c r="D48" s="34"/>
      <c r="E48" s="34"/>
      <c r="F48" s="34"/>
    </row>
    <row r="49" customFormat="false" ht="15" hidden="false" customHeight="true" outlineLevel="0" collapsed="false">
      <c r="A49" s="34" t="s">
        <v>229</v>
      </c>
      <c r="B49" s="34"/>
      <c r="C49" s="34"/>
      <c r="D49" s="34"/>
      <c r="E49" s="34"/>
      <c r="F49" s="34"/>
    </row>
    <row r="50" customFormat="false" ht="15" hidden="false" customHeight="true" outlineLevel="0" collapsed="false">
      <c r="A50" s="34" t="s">
        <v>230</v>
      </c>
      <c r="B50" s="34"/>
      <c r="C50" s="34"/>
      <c r="D50" s="34"/>
      <c r="E50" s="34"/>
      <c r="F50" s="34"/>
    </row>
    <row r="51" customFormat="false" ht="15" hidden="false" customHeight="true" outlineLevel="0" collapsed="false">
      <c r="A51" s="34" t="s">
        <v>231</v>
      </c>
      <c r="B51" s="34"/>
      <c r="C51" s="34"/>
      <c r="D51" s="34"/>
      <c r="E51" s="34"/>
      <c r="F51" s="34"/>
    </row>
  </sheetData>
  <mergeCells count="17">
    <mergeCell ref="A1:F1"/>
    <mergeCell ref="A3:F3"/>
    <mergeCell ref="A23:D23"/>
    <mergeCell ref="A25:F25"/>
    <mergeCell ref="A31:D31"/>
    <mergeCell ref="A33:F33"/>
    <mergeCell ref="A36:D36"/>
    <mergeCell ref="A38:F38"/>
    <mergeCell ref="A41:D41"/>
    <mergeCell ref="A44:F44"/>
    <mergeCell ref="A45:F45"/>
    <mergeCell ref="A46:F46"/>
    <mergeCell ref="A47:F47"/>
    <mergeCell ref="A48:F48"/>
    <mergeCell ref="A49:F49"/>
    <mergeCell ref="A50:F50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2026-02-09T20:42:02Z</dcterms:created>
  <dc:creator>openpyxl</dc:creator>
  <dc:description/>
  <dc:language>en-US</dc:language>
  <cp:lastModifiedBy/>
  <dcterms:modified xsi:type="dcterms:W3CDTF">2026-02-09T20:42:02Z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